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Sta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<sst xmlns="http://schemas.openxmlformats.org/spreadsheetml/2006/main" count="45" uniqueCount="31">
  <si>
    <t xml:space="preserve">AVERAGE PRICE</t>
  </si>
  <si>
    <t xml:space="preserve">HOMES ANALYZED</t>
  </si>
  <si>
    <t xml:space="preserve">TOP PRICE DRIVER</t>
  </si>
  <si>
    <t xml:space="preserve">MODEL ACCURACY (R²)</t>
  </si>
  <si>
    <t xml:space="preserve">What Drives Price the Most</t>
  </si>
  <si>
    <t xml:space="preserve">CRIM</t>
  </si>
  <si>
    <t xml:space="preserve">ZN</t>
  </si>
  <si>
    <t xml:space="preserve">INDUS</t>
  </si>
  <si>
    <t xml:space="preserve">CHAS</t>
  </si>
  <si>
    <t xml:space="preserve">NOX</t>
  </si>
  <si>
    <t xml:space="preserve">RM</t>
  </si>
  <si>
    <t xml:space="preserve">AGE</t>
  </si>
  <si>
    <t xml:space="preserve">DIS</t>
  </si>
  <si>
    <t xml:space="preserve">RAD</t>
  </si>
  <si>
    <t xml:space="preserve">TAX</t>
  </si>
  <si>
    <t xml:space="preserve">PTRATIO</t>
  </si>
  <si>
    <t xml:space="preserve">B</t>
  </si>
  <si>
    <t xml:space="preserve">LSTAT</t>
  </si>
  <si>
    <t xml:space="preserve">MEDV</t>
  </si>
  <si>
    <t xml:space="preserve">Feature</t>
  </si>
  <si>
    <t xml:space="preserve">Correlation with MEDV</t>
  </si>
  <si>
    <t xml:space="preserve">Group</t>
  </si>
  <si>
    <t xml:space="preserve">Average Price</t>
  </si>
  <si>
    <t xml:space="preserve">KPI</t>
  </si>
  <si>
    <t xml:space="preserve">Value</t>
  </si>
  <si>
    <t xml:space="preserve">Not on River</t>
  </si>
  <si>
    <t xml:space="preserve">On River</t>
  </si>
  <si>
    <t xml:space="preserve">Max Price</t>
  </si>
  <si>
    <t xml:space="preserve">Homes Analyzed</t>
  </si>
  <si>
    <t xml:space="preserve">Strongest Positive Driver</t>
  </si>
  <si>
    <t xml:space="preserve">Strongest Negative Driver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</si>
</sst>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0"/>
    <numFmt numFmtId="167" formatCode="@"/>
    <numFmt numFmtId="168" formatCode="0%"/>
    <numFmt numFmtId="169" formatCode="0.00"/>
    <numFmt numFmtId="170" formatCode="\$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44546A"/>
      <name val="Arial"/>
      <family val="0"/>
      <charset val="1"/>
    </font>
    <font>
      <b val="true"/>
      <sz val="18"/>
      <color rgb="FF0B1F3A"/>
      <name val="Arial"/>
      <family val="0"/>
      <charset val="1"/>
    </font>
    <font>
      <b val="true"/>
      <sz val="13"/>
      <color rgb="FF0B1F3A"/>
      <name val="Arial"/>
      <family val="0"/>
      <charset val="1"/>
    </font>
    <font>
      <b val="true"/>
      <sz val="14"/>
      <color rgb="FF0B1F3A"/>
      <name val="Arial"/>
      <family val="2"/>
    </font>
    <font>
      <sz val="9"/>
      <color rgb="FF44546A"/>
      <name val="Calibri"/>
      <family val="2"/>
    </font>
    <font>
      <b val="true"/>
      <sz val="11"/>
      <color rgb="FF44546A"/>
      <name val="Calibri"/>
      <family val="2"/>
    </font>
    <font>
      <b val="true"/>
      <sz val="9"/>
      <color rgb="FF44546A"/>
      <name val="Calibri"/>
      <family val="2"/>
    </font>
    <font>
      <b val="true"/>
      <sz val="10"/>
      <color rgb="FF44546A"/>
      <name val="Calibri"/>
      <family val="2"/>
    </font>
    <font>
      <b val="true"/>
      <sz val="11"/>
      <color rgb="FFFFFFFF"/>
      <name val="Arial"/>
      <family val="0"/>
      <charset val="1"/>
    </font>
    <font>
      <sz val="10"/>
      <color rgb="FF1A1A1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4F6FA"/>
        <bgColor rgb="FFEDEFF5"/>
      </patternFill>
    </fill>
    <fill>
      <patternFill patternType="solid">
        <fgColor rgb="FFD4AF37"/>
        <bgColor rgb="FFFFCC00"/>
      </patternFill>
    </fill>
    <fill>
      <patternFill patternType="solid">
        <fgColor rgb="FF18395F"/>
        <bgColor rgb="FF0B1F3A"/>
      </patternFill>
    </fill>
    <fill>
      <patternFill patternType="solid">
        <fgColor rgb="FFFFFFFF"/>
        <bgColor rgb="FFF4F6FA"/>
      </patternFill>
    </fill>
    <fill>
      <patternFill patternType="solid">
        <fgColor rgb="FF0B1F3A"/>
        <bgColor rgb="FF1A1A1A"/>
      </patternFill>
    </fill>
    <fill>
      <patternFill patternType="solid">
        <fgColor rgb="FFEDEFF5"/>
        <bgColor rgb="FFF4F6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3E6ED"/>
      </left>
      <right style="thin">
        <color rgb="FFE3E6ED"/>
      </right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23A3A"/>
      <rgbColor rgb="FFF4F6FA"/>
      <rgbColor rgb="FFEDEF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6E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F37"/>
      <rgbColor rgb="FFFF6600"/>
      <rgbColor rgb="FF44546A"/>
      <rgbColor rgb="FF969696"/>
      <rgbColor rgb="FF18395F"/>
      <rgbColor rgb="FF339966"/>
      <rgbColor rgb="FF0B1F3A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0b1f3a"/>
                </a:solidFill>
                <a:latin typeface="Arial"/>
              </a:defRPr>
            </a:pPr>
            <a:r>
              <a:rPr b="1" sz="1400" spc="-1" strike="noStrike">
                <a:solidFill>
                  <a:srgbClr val="0b1f3a"/>
                </a:solidFill>
                <a:latin typeface="Arial"/>
              </a:rPr>
              <a:t>Correlation With Home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Stats!B1</c:f>
              <c:strCache>
                <c:ptCount val="1"/>
                <c:pt idx="0">
                  <c:v>Correlation with MEDV</c:v>
                </c:pt>
              </c:strCache>
            </c:strRef>
          </c:tx>
          <c:spPr>
            <a:solidFill>
              <a:srgbClr val="d4af37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d4af37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d4af37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d4af37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d4af37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d4af37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18395f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18395f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18395f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18395f"/>
              </a:solidFill>
              <a:ln w="0">
                <a:noFill/>
              </a:ln>
            </c:spPr>
          </c:dPt>
          <c:dPt>
            <c:idx val="9"/>
            <c:invertIfNegative val="0"/>
            <c:spPr>
              <a:solidFill>
                <a:srgbClr val="18395f"/>
              </a:solidFill>
              <a:ln w="0">
                <a:noFill/>
              </a:ln>
            </c:spPr>
          </c:dPt>
          <c:dPt>
            <c:idx val="10"/>
            <c:invertIfNegative val="0"/>
            <c:spPr>
              <a:solidFill>
                <a:srgbClr val="18395f"/>
              </a:solidFill>
              <a:ln w="0">
                <a:noFill/>
              </a:ln>
            </c:spPr>
          </c:dPt>
          <c:dPt>
            <c:idx val="11"/>
            <c:invertIfNegative val="0"/>
            <c:spPr>
              <a:solidFill>
                <a:srgbClr val="18395f"/>
              </a:solidFill>
              <a:ln w="0">
                <a:noFill/>
              </a:ln>
            </c:spPr>
          </c:dPt>
          <c:dPt>
            <c:idx val="12"/>
            <c:invertIfNegative val="0"/>
            <c:spPr>
              <a:solidFill>
                <a:srgbClr val="18395f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Stats!$A$2:$A$14</c:f>
              <c:strCache>
                <c:ptCount val="13"/>
                <c:pt idx="0">
                  <c:v>RM</c:v>
                </c:pt>
                <c:pt idx="1">
                  <c:v>ZN</c:v>
                </c:pt>
                <c:pt idx="2">
                  <c:v>DIS</c:v>
                </c:pt>
                <c:pt idx="3">
                  <c:v>B</c:v>
                </c:pt>
                <c:pt idx="4">
                  <c:v>CHAS</c:v>
                </c:pt>
                <c:pt idx="5">
                  <c:v>CRIM</c:v>
                </c:pt>
                <c:pt idx="6">
                  <c:v>RAD</c:v>
                </c:pt>
                <c:pt idx="7">
                  <c:v>AGE</c:v>
                </c:pt>
                <c:pt idx="8">
                  <c:v>PTRATIO</c:v>
                </c:pt>
                <c:pt idx="9">
                  <c:v>NOX</c:v>
                </c:pt>
                <c:pt idx="10">
                  <c:v>TAX</c:v>
                </c:pt>
                <c:pt idx="11">
                  <c:v>INDUS</c:v>
                </c:pt>
                <c:pt idx="12">
                  <c:v>LSTAT</c:v>
                </c:pt>
              </c:strCache>
            </c:strRef>
          </c:cat>
          <c:val>
            <c:numRef>
              <c:f>Stats!$B$2:$B$14</c:f>
              <c:numCache>
                <c:formatCode>0.00</c:formatCode>
                <c:ptCount val="13"/>
                <c:pt idx="0">
                  <c:v>0.686634314206023</c:v>
                </c:pt>
                <c:pt idx="1">
                  <c:v>0.40460764217148</c:v>
                </c:pt>
                <c:pt idx="2">
                  <c:v>0.368813184777826</c:v>
                </c:pt>
                <c:pt idx="3">
                  <c:v>0.364927980278278</c:v>
                </c:pt>
                <c:pt idx="4">
                  <c:v>0.0748034682945589</c:v>
                </c:pt>
                <c:pt idx="5">
                  <c:v>-0.450115181227719</c:v>
                </c:pt>
                <c:pt idx="6">
                  <c:v>-0.476295593463916</c:v>
                </c:pt>
                <c:pt idx="7">
                  <c:v>-0.492915210193238</c:v>
                </c:pt>
                <c:pt idx="8">
                  <c:v>-0.51864104939619</c:v>
                </c:pt>
                <c:pt idx="9">
                  <c:v>-0.52445103122407</c:v>
                </c:pt>
                <c:pt idx="10">
                  <c:v>-0.572441672789006</c:v>
                </c:pt>
                <c:pt idx="11">
                  <c:v>-0.600005228507379</c:v>
                </c:pt>
                <c:pt idx="12">
                  <c:v>-0.759837490903252</c:v>
                </c:pt>
              </c:numCache>
            </c:numRef>
          </c:val>
        </c:ser>
        <c:gapWidth val="60"/>
        <c:overlap val="0"/>
        <c:axId val="20808764"/>
        <c:axId val="45268458"/>
      </c:barChart>
      <c:catAx>
        <c:axId val="20808764"/>
        <c:scaling>
          <c:orientation val="minMax"/>
        </c:scaling>
        <c:delete val="0"/>
        <c:axPos val="b"/>
        <c:majorGridlines>
          <c:spPr>
            <a:ln w="9360">
              <a:solidFill>
                <a:srgbClr val="e3e6ed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100" spc="-1" strike="noStrike">
                    <a:solidFill>
                      <a:srgbClr val="44546a"/>
                    </a:solidFill>
                    <a:latin typeface="Calibri"/>
                  </a:defRPr>
                </a:pPr>
                <a:r>
                  <a:rPr b="1" sz="1100" spc="-1" strike="noStrike">
                    <a:solidFill>
                      <a:srgbClr val="44546a"/>
                    </a:solidFill>
                    <a:latin typeface="Calibri"/>
                  </a:rPr>
                  <a:t>Correlation Coefficient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4546a"/>
                </a:solidFill>
                <a:latin typeface="Calibri"/>
              </a:defRPr>
            </a:pPr>
          </a:p>
        </c:txPr>
        <c:crossAx val="45268458"/>
        <c:crosses val="min"/>
        <c:auto val="1"/>
        <c:lblAlgn val="ctr"/>
        <c:lblOffset val="100"/>
        <c:noMultiLvlLbl val="0"/>
      </c:catAx>
      <c:valAx>
        <c:axId val="45268458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1" sz="900" spc="-1" strike="noStrike">
                <a:solidFill>
                  <a:srgbClr val="44546a"/>
                </a:solidFill>
                <a:latin typeface="Calibri"/>
              </a:defRPr>
            </a:pPr>
          </a:p>
        </c:txPr>
        <c:crossAx val="20808764"/>
        <c:crosses val="min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0b1f3a"/>
                </a:solidFill>
                <a:latin typeface="Arial"/>
              </a:defRPr>
            </a:pPr>
            <a:r>
              <a:rPr b="1" sz="1400" spc="-1" strike="noStrike">
                <a:solidFill>
                  <a:srgbClr val="0b1f3a"/>
                </a:solidFill>
                <a:latin typeface="Arial"/>
              </a:rPr>
              <a:t>More Rooms, Higher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"Homes"</c:f>
              <c:strCache>
                <c:ptCount val="1"/>
                <c:pt idx="0">
                  <c:v>Homes</c:v>
                </c:pt>
              </c:strCache>
            </c:strRef>
          </c:tx>
          <c:spPr>
            <a:solidFill>
              <a:srgbClr val="18395f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18395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28080">
                <a:solidFill>
                  <a:srgbClr val="d4af37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xVal>
            <c:numRef>
              <c:f>Data!$F$2:$F$491</c:f>
              <c:numCache>
                <c:formatCode>0.00</c:formatCode>
                <c:ptCount val="490"/>
                <c:pt idx="0">
                  <c:v>6.575</c:v>
                </c:pt>
                <c:pt idx="1">
                  <c:v>6.421</c:v>
                </c:pt>
                <c:pt idx="2">
                  <c:v>7.185</c:v>
                </c:pt>
                <c:pt idx="3">
                  <c:v>6.998</c:v>
                </c:pt>
                <c:pt idx="4">
                  <c:v>7.147</c:v>
                </c:pt>
                <c:pt idx="5">
                  <c:v>6.43</c:v>
                </c:pt>
                <c:pt idx="6">
                  <c:v>6.012</c:v>
                </c:pt>
                <c:pt idx="7">
                  <c:v>6.172</c:v>
                </c:pt>
                <c:pt idx="8">
                  <c:v>5.631</c:v>
                </c:pt>
                <c:pt idx="9">
                  <c:v>6.004</c:v>
                </c:pt>
                <c:pt idx="10">
                  <c:v>6.377</c:v>
                </c:pt>
                <c:pt idx="11">
                  <c:v>6.009</c:v>
                </c:pt>
                <c:pt idx="12">
                  <c:v>5.889</c:v>
                </c:pt>
                <c:pt idx="13">
                  <c:v>5.949</c:v>
                </c:pt>
                <c:pt idx="14">
                  <c:v>6.096</c:v>
                </c:pt>
                <c:pt idx="15">
                  <c:v>5.834</c:v>
                </c:pt>
                <c:pt idx="16">
                  <c:v>5.935</c:v>
                </c:pt>
                <c:pt idx="17">
                  <c:v>5.99</c:v>
                </c:pt>
                <c:pt idx="18">
                  <c:v>5.456</c:v>
                </c:pt>
                <c:pt idx="19">
                  <c:v>5.727</c:v>
                </c:pt>
                <c:pt idx="20">
                  <c:v>5.57</c:v>
                </c:pt>
                <c:pt idx="21">
                  <c:v>5.965</c:v>
                </c:pt>
                <c:pt idx="22">
                  <c:v>6.142</c:v>
                </c:pt>
                <c:pt idx="23">
                  <c:v>5.813</c:v>
                </c:pt>
                <c:pt idx="24">
                  <c:v>5.924</c:v>
                </c:pt>
                <c:pt idx="25">
                  <c:v>5.599</c:v>
                </c:pt>
                <c:pt idx="26">
                  <c:v>5.813</c:v>
                </c:pt>
                <c:pt idx="27">
                  <c:v>6.047</c:v>
                </c:pt>
                <c:pt idx="28">
                  <c:v>6.495</c:v>
                </c:pt>
                <c:pt idx="29">
                  <c:v>6.674</c:v>
                </c:pt>
                <c:pt idx="30">
                  <c:v>5.713</c:v>
                </c:pt>
                <c:pt idx="31">
                  <c:v>6.072</c:v>
                </c:pt>
                <c:pt idx="32">
                  <c:v>5.95</c:v>
                </c:pt>
                <c:pt idx="33">
                  <c:v>5.701</c:v>
                </c:pt>
                <c:pt idx="34">
                  <c:v>6.096</c:v>
                </c:pt>
                <c:pt idx="35">
                  <c:v>5.933</c:v>
                </c:pt>
                <c:pt idx="36">
                  <c:v>5.841</c:v>
                </c:pt>
                <c:pt idx="37">
                  <c:v>5.85</c:v>
                </c:pt>
                <c:pt idx="38">
                  <c:v>5.966</c:v>
                </c:pt>
                <c:pt idx="39">
                  <c:v>6.595</c:v>
                </c:pt>
                <c:pt idx="40">
                  <c:v>7.024</c:v>
                </c:pt>
                <c:pt idx="41">
                  <c:v>6.77</c:v>
                </c:pt>
                <c:pt idx="42">
                  <c:v>6.169</c:v>
                </c:pt>
                <c:pt idx="43">
                  <c:v>6.211</c:v>
                </c:pt>
                <c:pt idx="44">
                  <c:v>6.069</c:v>
                </c:pt>
                <c:pt idx="45">
                  <c:v>5.682</c:v>
                </c:pt>
                <c:pt idx="46">
                  <c:v>5.786</c:v>
                </c:pt>
                <c:pt idx="47">
                  <c:v>6.03</c:v>
                </c:pt>
                <c:pt idx="48">
                  <c:v>5.399</c:v>
                </c:pt>
                <c:pt idx="49">
                  <c:v>5.602</c:v>
                </c:pt>
                <c:pt idx="50">
                  <c:v>5.963</c:v>
                </c:pt>
                <c:pt idx="51">
                  <c:v>6.115</c:v>
                </c:pt>
                <c:pt idx="52">
                  <c:v>6.511</c:v>
                </c:pt>
                <c:pt idx="53">
                  <c:v>5.998</c:v>
                </c:pt>
                <c:pt idx="54">
                  <c:v>5.888</c:v>
                </c:pt>
                <c:pt idx="55">
                  <c:v>7.249</c:v>
                </c:pt>
                <c:pt idx="56">
                  <c:v>6.383</c:v>
                </c:pt>
                <c:pt idx="57">
                  <c:v>6.816</c:v>
                </c:pt>
                <c:pt idx="58">
                  <c:v>6.145</c:v>
                </c:pt>
                <c:pt idx="59">
                  <c:v>5.927</c:v>
                </c:pt>
                <c:pt idx="60">
                  <c:v>5.741</c:v>
                </c:pt>
                <c:pt idx="61">
                  <c:v>5.966</c:v>
                </c:pt>
                <c:pt idx="62">
                  <c:v>6.456</c:v>
                </c:pt>
                <c:pt idx="63">
                  <c:v>6.762</c:v>
                </c:pt>
                <c:pt idx="64">
                  <c:v>7.104</c:v>
                </c:pt>
                <c:pt idx="65">
                  <c:v>6.29</c:v>
                </c:pt>
                <c:pt idx="66">
                  <c:v>5.787</c:v>
                </c:pt>
                <c:pt idx="67">
                  <c:v>5.878</c:v>
                </c:pt>
                <c:pt idx="68">
                  <c:v>5.594</c:v>
                </c:pt>
                <c:pt idx="69">
                  <c:v>5.885</c:v>
                </c:pt>
                <c:pt idx="70">
                  <c:v>6.417</c:v>
                </c:pt>
                <c:pt idx="71">
                  <c:v>5.961</c:v>
                </c:pt>
                <c:pt idx="72">
                  <c:v>6.065</c:v>
                </c:pt>
                <c:pt idx="73">
                  <c:v>6.245</c:v>
                </c:pt>
                <c:pt idx="74">
                  <c:v>6.273</c:v>
                </c:pt>
                <c:pt idx="75">
                  <c:v>6.286</c:v>
                </c:pt>
                <c:pt idx="76">
                  <c:v>6.279</c:v>
                </c:pt>
                <c:pt idx="77">
                  <c:v>6.14</c:v>
                </c:pt>
                <c:pt idx="78">
                  <c:v>6.232</c:v>
                </c:pt>
                <c:pt idx="79">
                  <c:v>5.874</c:v>
                </c:pt>
                <c:pt idx="80">
                  <c:v>6.727</c:v>
                </c:pt>
                <c:pt idx="81">
                  <c:v>6.619</c:v>
                </c:pt>
                <c:pt idx="82">
                  <c:v>6.302</c:v>
                </c:pt>
                <c:pt idx="83">
                  <c:v>6.167</c:v>
                </c:pt>
                <c:pt idx="84">
                  <c:v>6.389</c:v>
                </c:pt>
                <c:pt idx="85">
                  <c:v>6.63</c:v>
                </c:pt>
                <c:pt idx="86">
                  <c:v>6.015</c:v>
                </c:pt>
                <c:pt idx="87">
                  <c:v>6.121</c:v>
                </c:pt>
                <c:pt idx="88">
                  <c:v>7.007</c:v>
                </c:pt>
                <c:pt idx="89">
                  <c:v>7.079</c:v>
                </c:pt>
                <c:pt idx="90">
                  <c:v>6.417</c:v>
                </c:pt>
                <c:pt idx="91">
                  <c:v>6.405</c:v>
                </c:pt>
                <c:pt idx="92">
                  <c:v>6.442</c:v>
                </c:pt>
                <c:pt idx="93">
                  <c:v>6.211</c:v>
                </c:pt>
                <c:pt idx="94">
                  <c:v>6.249</c:v>
                </c:pt>
                <c:pt idx="95">
                  <c:v>6.625</c:v>
                </c:pt>
                <c:pt idx="96">
                  <c:v>6.163</c:v>
                </c:pt>
                <c:pt idx="97">
                  <c:v>8.069</c:v>
                </c:pt>
                <c:pt idx="98">
                  <c:v>7.82</c:v>
                </c:pt>
                <c:pt idx="99">
                  <c:v>7.416</c:v>
                </c:pt>
                <c:pt idx="100">
                  <c:v>6.727</c:v>
                </c:pt>
                <c:pt idx="101">
                  <c:v>6.781</c:v>
                </c:pt>
                <c:pt idx="102">
                  <c:v>6.405</c:v>
                </c:pt>
                <c:pt idx="103">
                  <c:v>6.137</c:v>
                </c:pt>
                <c:pt idx="104">
                  <c:v>6.167</c:v>
                </c:pt>
                <c:pt idx="105">
                  <c:v>5.851</c:v>
                </c:pt>
                <c:pt idx="106">
                  <c:v>5.836</c:v>
                </c:pt>
                <c:pt idx="107">
                  <c:v>6.127</c:v>
                </c:pt>
                <c:pt idx="108">
                  <c:v>6.474</c:v>
                </c:pt>
                <c:pt idx="109">
                  <c:v>6.229</c:v>
                </c:pt>
                <c:pt idx="110">
                  <c:v>6.195</c:v>
                </c:pt>
                <c:pt idx="111">
                  <c:v>6.715</c:v>
                </c:pt>
                <c:pt idx="112">
                  <c:v>5.913</c:v>
                </c:pt>
                <c:pt idx="113">
                  <c:v>6.092</c:v>
                </c:pt>
                <c:pt idx="114">
                  <c:v>6.254</c:v>
                </c:pt>
                <c:pt idx="115">
                  <c:v>5.928</c:v>
                </c:pt>
                <c:pt idx="116">
                  <c:v>6.176</c:v>
                </c:pt>
                <c:pt idx="117">
                  <c:v>6.021</c:v>
                </c:pt>
                <c:pt idx="118">
                  <c:v>5.872</c:v>
                </c:pt>
                <c:pt idx="119">
                  <c:v>5.731</c:v>
                </c:pt>
                <c:pt idx="120">
                  <c:v>5.87</c:v>
                </c:pt>
                <c:pt idx="121">
                  <c:v>6.004</c:v>
                </c:pt>
                <c:pt idx="122">
                  <c:v>5.961</c:v>
                </c:pt>
                <c:pt idx="123">
                  <c:v>5.856</c:v>
                </c:pt>
                <c:pt idx="124">
                  <c:v>5.879</c:v>
                </c:pt>
                <c:pt idx="125">
                  <c:v>5.986</c:v>
                </c:pt>
                <c:pt idx="126">
                  <c:v>5.613</c:v>
                </c:pt>
                <c:pt idx="127">
                  <c:v>5.693</c:v>
                </c:pt>
                <c:pt idx="128">
                  <c:v>6.431</c:v>
                </c:pt>
                <c:pt idx="129">
                  <c:v>5.637</c:v>
                </c:pt>
                <c:pt idx="130">
                  <c:v>6.458</c:v>
                </c:pt>
                <c:pt idx="131">
                  <c:v>6.326</c:v>
                </c:pt>
                <c:pt idx="132">
                  <c:v>6.372</c:v>
                </c:pt>
                <c:pt idx="133">
                  <c:v>5.822</c:v>
                </c:pt>
                <c:pt idx="134">
                  <c:v>5.757</c:v>
                </c:pt>
                <c:pt idx="135">
                  <c:v>6.335</c:v>
                </c:pt>
                <c:pt idx="136">
                  <c:v>5.942</c:v>
                </c:pt>
                <c:pt idx="137">
                  <c:v>6.454</c:v>
                </c:pt>
                <c:pt idx="138">
                  <c:v>5.857</c:v>
                </c:pt>
                <c:pt idx="139">
                  <c:v>6.151</c:v>
                </c:pt>
                <c:pt idx="140">
                  <c:v>6.174</c:v>
                </c:pt>
                <c:pt idx="141">
                  <c:v>5.019</c:v>
                </c:pt>
                <c:pt idx="142">
                  <c:v>5.403</c:v>
                </c:pt>
                <c:pt idx="143">
                  <c:v>5.468</c:v>
                </c:pt>
                <c:pt idx="144">
                  <c:v>4.903</c:v>
                </c:pt>
                <c:pt idx="145">
                  <c:v>6.13</c:v>
                </c:pt>
                <c:pt idx="146">
                  <c:v>5.628</c:v>
                </c:pt>
                <c:pt idx="147">
                  <c:v>4.926</c:v>
                </c:pt>
                <c:pt idx="148">
                  <c:v>5.186</c:v>
                </c:pt>
                <c:pt idx="149">
                  <c:v>5.597</c:v>
                </c:pt>
                <c:pt idx="150">
                  <c:v>6.122</c:v>
                </c:pt>
                <c:pt idx="151">
                  <c:v>5.404</c:v>
                </c:pt>
                <c:pt idx="152">
                  <c:v>5.012</c:v>
                </c:pt>
                <c:pt idx="153">
                  <c:v>5.709</c:v>
                </c:pt>
                <c:pt idx="154">
                  <c:v>6.129</c:v>
                </c:pt>
                <c:pt idx="155">
                  <c:v>6.152</c:v>
                </c:pt>
                <c:pt idx="156">
                  <c:v>5.272</c:v>
                </c:pt>
                <c:pt idx="157">
                  <c:v>6.943</c:v>
                </c:pt>
                <c:pt idx="158">
                  <c:v>6.066</c:v>
                </c:pt>
                <c:pt idx="159">
                  <c:v>6.51</c:v>
                </c:pt>
                <c:pt idx="160">
                  <c:v>6.25</c:v>
                </c:pt>
                <c:pt idx="161">
                  <c:v>5.854</c:v>
                </c:pt>
                <c:pt idx="162">
                  <c:v>6.101</c:v>
                </c:pt>
                <c:pt idx="163">
                  <c:v>5.877</c:v>
                </c:pt>
                <c:pt idx="164">
                  <c:v>6.319</c:v>
                </c:pt>
                <c:pt idx="165">
                  <c:v>6.402</c:v>
                </c:pt>
                <c:pt idx="166">
                  <c:v>5.875</c:v>
                </c:pt>
                <c:pt idx="167">
                  <c:v>5.88</c:v>
                </c:pt>
                <c:pt idx="168">
                  <c:v>5.572</c:v>
                </c:pt>
                <c:pt idx="169">
                  <c:v>6.416</c:v>
                </c:pt>
                <c:pt idx="170">
                  <c:v>5.859</c:v>
                </c:pt>
                <c:pt idx="171">
                  <c:v>6.546</c:v>
                </c:pt>
                <c:pt idx="172">
                  <c:v>6.02</c:v>
                </c:pt>
                <c:pt idx="173">
                  <c:v>6.315</c:v>
                </c:pt>
                <c:pt idx="174">
                  <c:v>6.86</c:v>
                </c:pt>
                <c:pt idx="175">
                  <c:v>6.98</c:v>
                </c:pt>
                <c:pt idx="176">
                  <c:v>7.765</c:v>
                </c:pt>
                <c:pt idx="177">
                  <c:v>6.144</c:v>
                </c:pt>
                <c:pt idx="178">
                  <c:v>7.155</c:v>
                </c:pt>
                <c:pt idx="179">
                  <c:v>6.563</c:v>
                </c:pt>
                <c:pt idx="180">
                  <c:v>5.604</c:v>
                </c:pt>
                <c:pt idx="181">
                  <c:v>6.153</c:v>
                </c:pt>
                <c:pt idx="182">
                  <c:v>6.782</c:v>
                </c:pt>
                <c:pt idx="183">
                  <c:v>6.556</c:v>
                </c:pt>
                <c:pt idx="184">
                  <c:v>7.185</c:v>
                </c:pt>
                <c:pt idx="185">
                  <c:v>6.951</c:v>
                </c:pt>
                <c:pt idx="186">
                  <c:v>6.739</c:v>
                </c:pt>
                <c:pt idx="187">
                  <c:v>7.178</c:v>
                </c:pt>
                <c:pt idx="188">
                  <c:v>6.8</c:v>
                </c:pt>
                <c:pt idx="189">
                  <c:v>6.604</c:v>
                </c:pt>
                <c:pt idx="190">
                  <c:v>7.287</c:v>
                </c:pt>
                <c:pt idx="191">
                  <c:v>7.107</c:v>
                </c:pt>
                <c:pt idx="192">
                  <c:v>7.274</c:v>
                </c:pt>
                <c:pt idx="193">
                  <c:v>6.975</c:v>
                </c:pt>
                <c:pt idx="194">
                  <c:v>7.135</c:v>
                </c:pt>
                <c:pt idx="195">
                  <c:v>6.162</c:v>
                </c:pt>
                <c:pt idx="196">
                  <c:v>7.61</c:v>
                </c:pt>
                <c:pt idx="197">
                  <c:v>7.853</c:v>
                </c:pt>
                <c:pt idx="198">
                  <c:v>5.891</c:v>
                </c:pt>
                <c:pt idx="199">
                  <c:v>6.326</c:v>
                </c:pt>
                <c:pt idx="200">
                  <c:v>5.783</c:v>
                </c:pt>
                <c:pt idx="201">
                  <c:v>6.064</c:v>
                </c:pt>
                <c:pt idx="202">
                  <c:v>5.344</c:v>
                </c:pt>
                <c:pt idx="203">
                  <c:v>5.96</c:v>
                </c:pt>
                <c:pt idx="204">
                  <c:v>5.404</c:v>
                </c:pt>
                <c:pt idx="205">
                  <c:v>5.807</c:v>
                </c:pt>
                <c:pt idx="206">
                  <c:v>6.375</c:v>
                </c:pt>
                <c:pt idx="207">
                  <c:v>5.412</c:v>
                </c:pt>
                <c:pt idx="208">
                  <c:v>6.182</c:v>
                </c:pt>
                <c:pt idx="209">
                  <c:v>5.888</c:v>
                </c:pt>
                <c:pt idx="210">
                  <c:v>6.642</c:v>
                </c:pt>
                <c:pt idx="211">
                  <c:v>5.951</c:v>
                </c:pt>
                <c:pt idx="212">
                  <c:v>6.373</c:v>
                </c:pt>
                <c:pt idx="213">
                  <c:v>6.951</c:v>
                </c:pt>
                <c:pt idx="214">
                  <c:v>6.164</c:v>
                </c:pt>
                <c:pt idx="215">
                  <c:v>6.879</c:v>
                </c:pt>
                <c:pt idx="216">
                  <c:v>6.618</c:v>
                </c:pt>
                <c:pt idx="217">
                  <c:v>8.266</c:v>
                </c:pt>
                <c:pt idx="218">
                  <c:v>8.04</c:v>
                </c:pt>
                <c:pt idx="219">
                  <c:v>7.163</c:v>
                </c:pt>
                <c:pt idx="220">
                  <c:v>7.686</c:v>
                </c:pt>
                <c:pt idx="221">
                  <c:v>6.552</c:v>
                </c:pt>
                <c:pt idx="222">
                  <c:v>5.981</c:v>
                </c:pt>
                <c:pt idx="223">
                  <c:v>7.412</c:v>
                </c:pt>
                <c:pt idx="224">
                  <c:v>8.337</c:v>
                </c:pt>
                <c:pt idx="225">
                  <c:v>8.247</c:v>
                </c:pt>
                <c:pt idx="226">
                  <c:v>6.726</c:v>
                </c:pt>
                <c:pt idx="227">
                  <c:v>6.086</c:v>
                </c:pt>
                <c:pt idx="228">
                  <c:v>6.631</c:v>
                </c:pt>
                <c:pt idx="229">
                  <c:v>7.358</c:v>
                </c:pt>
                <c:pt idx="230">
                  <c:v>6.481</c:v>
                </c:pt>
                <c:pt idx="231">
                  <c:v>6.606</c:v>
                </c:pt>
                <c:pt idx="232">
                  <c:v>6.897</c:v>
                </c:pt>
                <c:pt idx="233">
                  <c:v>6.095</c:v>
                </c:pt>
                <c:pt idx="234">
                  <c:v>6.358</c:v>
                </c:pt>
                <c:pt idx="235">
                  <c:v>6.393</c:v>
                </c:pt>
                <c:pt idx="236">
                  <c:v>5.593</c:v>
                </c:pt>
                <c:pt idx="237">
                  <c:v>5.605</c:v>
                </c:pt>
                <c:pt idx="238">
                  <c:v>6.108</c:v>
                </c:pt>
                <c:pt idx="239">
                  <c:v>6.226</c:v>
                </c:pt>
                <c:pt idx="240">
                  <c:v>6.433</c:v>
                </c:pt>
                <c:pt idx="241">
                  <c:v>6.718</c:v>
                </c:pt>
                <c:pt idx="242">
                  <c:v>6.487</c:v>
                </c:pt>
                <c:pt idx="243">
                  <c:v>6.438</c:v>
                </c:pt>
                <c:pt idx="244">
                  <c:v>6.957</c:v>
                </c:pt>
                <c:pt idx="245">
                  <c:v>8.259</c:v>
                </c:pt>
                <c:pt idx="246">
                  <c:v>6.108</c:v>
                </c:pt>
                <c:pt idx="247">
                  <c:v>5.876</c:v>
                </c:pt>
                <c:pt idx="248">
                  <c:v>7.454</c:v>
                </c:pt>
                <c:pt idx="249">
                  <c:v>7.333</c:v>
                </c:pt>
                <c:pt idx="250">
                  <c:v>6.842</c:v>
                </c:pt>
                <c:pt idx="251">
                  <c:v>7.203</c:v>
                </c:pt>
                <c:pt idx="252">
                  <c:v>7.52</c:v>
                </c:pt>
                <c:pt idx="253">
                  <c:v>8.398</c:v>
                </c:pt>
                <c:pt idx="254">
                  <c:v>7.327</c:v>
                </c:pt>
                <c:pt idx="255">
                  <c:v>7.206</c:v>
                </c:pt>
                <c:pt idx="256">
                  <c:v>5.56</c:v>
                </c:pt>
                <c:pt idx="257">
                  <c:v>7.014</c:v>
                </c:pt>
                <c:pt idx="258">
                  <c:v>7.47</c:v>
                </c:pt>
                <c:pt idx="259">
                  <c:v>5.92</c:v>
                </c:pt>
                <c:pt idx="260">
                  <c:v>5.856</c:v>
                </c:pt>
                <c:pt idx="261">
                  <c:v>6.24</c:v>
                </c:pt>
                <c:pt idx="262">
                  <c:v>6.538</c:v>
                </c:pt>
                <c:pt idx="263">
                  <c:v>7.691</c:v>
                </c:pt>
                <c:pt idx="264">
                  <c:v>6.758</c:v>
                </c:pt>
                <c:pt idx="265">
                  <c:v>6.854</c:v>
                </c:pt>
                <c:pt idx="266">
                  <c:v>7.267</c:v>
                </c:pt>
                <c:pt idx="267">
                  <c:v>6.826</c:v>
                </c:pt>
                <c:pt idx="268">
                  <c:v>6.482</c:v>
                </c:pt>
                <c:pt idx="269">
                  <c:v>6.812</c:v>
                </c:pt>
                <c:pt idx="270">
                  <c:v>7.82</c:v>
                </c:pt>
                <c:pt idx="271">
                  <c:v>6.968</c:v>
                </c:pt>
                <c:pt idx="272">
                  <c:v>7.645</c:v>
                </c:pt>
                <c:pt idx="273">
                  <c:v>7.088</c:v>
                </c:pt>
                <c:pt idx="274">
                  <c:v>6.453</c:v>
                </c:pt>
                <c:pt idx="275">
                  <c:v>6.23</c:v>
                </c:pt>
                <c:pt idx="276">
                  <c:v>6.209</c:v>
                </c:pt>
                <c:pt idx="277">
                  <c:v>6.315</c:v>
                </c:pt>
                <c:pt idx="278">
                  <c:v>6.565</c:v>
                </c:pt>
                <c:pt idx="279">
                  <c:v>6.861</c:v>
                </c:pt>
                <c:pt idx="280">
                  <c:v>7.148</c:v>
                </c:pt>
                <c:pt idx="281">
                  <c:v>6.63</c:v>
                </c:pt>
                <c:pt idx="282">
                  <c:v>6.127</c:v>
                </c:pt>
                <c:pt idx="283">
                  <c:v>6.009</c:v>
                </c:pt>
                <c:pt idx="284">
                  <c:v>6.678</c:v>
                </c:pt>
                <c:pt idx="285">
                  <c:v>6.549</c:v>
                </c:pt>
                <c:pt idx="286">
                  <c:v>5.79</c:v>
                </c:pt>
                <c:pt idx="287">
                  <c:v>6.345</c:v>
                </c:pt>
                <c:pt idx="288">
                  <c:v>7.041</c:v>
                </c:pt>
                <c:pt idx="289">
                  <c:v>6.871</c:v>
                </c:pt>
                <c:pt idx="290">
                  <c:v>6.59</c:v>
                </c:pt>
                <c:pt idx="291">
                  <c:v>6.495</c:v>
                </c:pt>
                <c:pt idx="292">
                  <c:v>6.982</c:v>
                </c:pt>
                <c:pt idx="293">
                  <c:v>7.236</c:v>
                </c:pt>
                <c:pt idx="294">
                  <c:v>6.616</c:v>
                </c:pt>
                <c:pt idx="295">
                  <c:v>7.42</c:v>
                </c:pt>
                <c:pt idx="296">
                  <c:v>6.849</c:v>
                </c:pt>
                <c:pt idx="297">
                  <c:v>6.635</c:v>
                </c:pt>
                <c:pt idx="298">
                  <c:v>5.972</c:v>
                </c:pt>
                <c:pt idx="299">
                  <c:v>4.973</c:v>
                </c:pt>
                <c:pt idx="300">
                  <c:v>6.122</c:v>
                </c:pt>
                <c:pt idx="301">
                  <c:v>6.023</c:v>
                </c:pt>
                <c:pt idx="302">
                  <c:v>6.266</c:v>
                </c:pt>
                <c:pt idx="303">
                  <c:v>6.567</c:v>
                </c:pt>
                <c:pt idx="304">
                  <c:v>5.705</c:v>
                </c:pt>
                <c:pt idx="305">
                  <c:v>5.914</c:v>
                </c:pt>
                <c:pt idx="306">
                  <c:v>5.782</c:v>
                </c:pt>
                <c:pt idx="307">
                  <c:v>6.382</c:v>
                </c:pt>
                <c:pt idx="308">
                  <c:v>6.113</c:v>
                </c:pt>
                <c:pt idx="309">
                  <c:v>6.426</c:v>
                </c:pt>
                <c:pt idx="310">
                  <c:v>6.376</c:v>
                </c:pt>
                <c:pt idx="311">
                  <c:v>6.041</c:v>
                </c:pt>
                <c:pt idx="312">
                  <c:v>5.708</c:v>
                </c:pt>
                <c:pt idx="313">
                  <c:v>6.415</c:v>
                </c:pt>
                <c:pt idx="314">
                  <c:v>6.431</c:v>
                </c:pt>
                <c:pt idx="315">
                  <c:v>6.312</c:v>
                </c:pt>
                <c:pt idx="316">
                  <c:v>6.083</c:v>
                </c:pt>
                <c:pt idx="317">
                  <c:v>5.868</c:v>
                </c:pt>
                <c:pt idx="318">
                  <c:v>6.333</c:v>
                </c:pt>
                <c:pt idx="319">
                  <c:v>6.144</c:v>
                </c:pt>
                <c:pt idx="320">
                  <c:v>5.706</c:v>
                </c:pt>
                <c:pt idx="321">
                  <c:v>6.031</c:v>
                </c:pt>
                <c:pt idx="322">
                  <c:v>6.316</c:v>
                </c:pt>
                <c:pt idx="323">
                  <c:v>6.31</c:v>
                </c:pt>
                <c:pt idx="324">
                  <c:v>6.037</c:v>
                </c:pt>
                <c:pt idx="325">
                  <c:v>5.869</c:v>
                </c:pt>
                <c:pt idx="326">
                  <c:v>5.895</c:v>
                </c:pt>
                <c:pt idx="327">
                  <c:v>6.059</c:v>
                </c:pt>
                <c:pt idx="328">
                  <c:v>5.985</c:v>
                </c:pt>
                <c:pt idx="329">
                  <c:v>5.968</c:v>
                </c:pt>
                <c:pt idx="330">
                  <c:v>7.241</c:v>
                </c:pt>
                <c:pt idx="331">
                  <c:v>6.54</c:v>
                </c:pt>
                <c:pt idx="332">
                  <c:v>6.696</c:v>
                </c:pt>
                <c:pt idx="333">
                  <c:v>6.874</c:v>
                </c:pt>
                <c:pt idx="334">
                  <c:v>6.014</c:v>
                </c:pt>
                <c:pt idx="335">
                  <c:v>5.898</c:v>
                </c:pt>
                <c:pt idx="336">
                  <c:v>6.516</c:v>
                </c:pt>
                <c:pt idx="337">
                  <c:v>6.635</c:v>
                </c:pt>
                <c:pt idx="338">
                  <c:v>6.939</c:v>
                </c:pt>
                <c:pt idx="339">
                  <c:v>6.49</c:v>
                </c:pt>
                <c:pt idx="340">
                  <c:v>6.579</c:v>
                </c:pt>
                <c:pt idx="341">
                  <c:v>5.884</c:v>
                </c:pt>
                <c:pt idx="342">
                  <c:v>6.728</c:v>
                </c:pt>
                <c:pt idx="343">
                  <c:v>5.663</c:v>
                </c:pt>
                <c:pt idx="344">
                  <c:v>5.936</c:v>
                </c:pt>
                <c:pt idx="345">
                  <c:v>6.212</c:v>
                </c:pt>
                <c:pt idx="346">
                  <c:v>6.395</c:v>
                </c:pt>
                <c:pt idx="347">
                  <c:v>6.127</c:v>
                </c:pt>
                <c:pt idx="348">
                  <c:v>6.112</c:v>
                </c:pt>
                <c:pt idx="349">
                  <c:v>6.398</c:v>
                </c:pt>
                <c:pt idx="350">
                  <c:v>6.251</c:v>
                </c:pt>
                <c:pt idx="351">
                  <c:v>5.362</c:v>
                </c:pt>
                <c:pt idx="352">
                  <c:v>5.803</c:v>
                </c:pt>
                <c:pt idx="353">
                  <c:v>8.78</c:v>
                </c:pt>
                <c:pt idx="354">
                  <c:v>3.561</c:v>
                </c:pt>
                <c:pt idx="355">
                  <c:v>4.963</c:v>
                </c:pt>
                <c:pt idx="356">
                  <c:v>3.863</c:v>
                </c:pt>
                <c:pt idx="357">
                  <c:v>4.906</c:v>
                </c:pt>
                <c:pt idx="358">
                  <c:v>4.138</c:v>
                </c:pt>
                <c:pt idx="359">
                  <c:v>7.313</c:v>
                </c:pt>
                <c:pt idx="360">
                  <c:v>6.649</c:v>
                </c:pt>
                <c:pt idx="361">
                  <c:v>6.794</c:v>
                </c:pt>
                <c:pt idx="362">
                  <c:v>6.38</c:v>
                </c:pt>
                <c:pt idx="363">
                  <c:v>6.223</c:v>
                </c:pt>
                <c:pt idx="364">
                  <c:v>6.968</c:v>
                </c:pt>
                <c:pt idx="365">
                  <c:v>6.545</c:v>
                </c:pt>
                <c:pt idx="366">
                  <c:v>5.536</c:v>
                </c:pt>
                <c:pt idx="367">
                  <c:v>5.52</c:v>
                </c:pt>
                <c:pt idx="368">
                  <c:v>4.368</c:v>
                </c:pt>
                <c:pt idx="369">
                  <c:v>5.277</c:v>
                </c:pt>
                <c:pt idx="370">
                  <c:v>4.652</c:v>
                </c:pt>
                <c:pt idx="371">
                  <c:v>5</c:v>
                </c:pt>
                <c:pt idx="372">
                  <c:v>4.88</c:v>
                </c:pt>
                <c:pt idx="373">
                  <c:v>5.39</c:v>
                </c:pt>
                <c:pt idx="374">
                  <c:v>5.713</c:v>
                </c:pt>
                <c:pt idx="375">
                  <c:v>6.051</c:v>
                </c:pt>
                <c:pt idx="376">
                  <c:v>5.036</c:v>
                </c:pt>
                <c:pt idx="377">
                  <c:v>6.193</c:v>
                </c:pt>
                <c:pt idx="378">
                  <c:v>5.887</c:v>
                </c:pt>
                <c:pt idx="379">
                  <c:v>6.471</c:v>
                </c:pt>
                <c:pt idx="380">
                  <c:v>6.405</c:v>
                </c:pt>
                <c:pt idx="381">
                  <c:v>5.747</c:v>
                </c:pt>
                <c:pt idx="382">
                  <c:v>5.453</c:v>
                </c:pt>
                <c:pt idx="383">
                  <c:v>5.852</c:v>
                </c:pt>
                <c:pt idx="384">
                  <c:v>5.987</c:v>
                </c:pt>
                <c:pt idx="385">
                  <c:v>6.343</c:v>
                </c:pt>
                <c:pt idx="386">
                  <c:v>6.404</c:v>
                </c:pt>
                <c:pt idx="387">
                  <c:v>5.349</c:v>
                </c:pt>
                <c:pt idx="388">
                  <c:v>5.531</c:v>
                </c:pt>
                <c:pt idx="389">
                  <c:v>5.683</c:v>
                </c:pt>
                <c:pt idx="390">
                  <c:v>4.138</c:v>
                </c:pt>
                <c:pt idx="391">
                  <c:v>5.608</c:v>
                </c:pt>
                <c:pt idx="392">
                  <c:v>5.617</c:v>
                </c:pt>
                <c:pt idx="393">
                  <c:v>6.852</c:v>
                </c:pt>
                <c:pt idx="394">
                  <c:v>5.757</c:v>
                </c:pt>
                <c:pt idx="395">
                  <c:v>6.657</c:v>
                </c:pt>
                <c:pt idx="396">
                  <c:v>4.628</c:v>
                </c:pt>
                <c:pt idx="397">
                  <c:v>5.155</c:v>
                </c:pt>
                <c:pt idx="398">
                  <c:v>4.519</c:v>
                </c:pt>
                <c:pt idx="399">
                  <c:v>6.434</c:v>
                </c:pt>
                <c:pt idx="400">
                  <c:v>6.782</c:v>
                </c:pt>
                <c:pt idx="401">
                  <c:v>5.304</c:v>
                </c:pt>
                <c:pt idx="402">
                  <c:v>5.957</c:v>
                </c:pt>
                <c:pt idx="403">
                  <c:v>6.824</c:v>
                </c:pt>
                <c:pt idx="404">
                  <c:v>6.411</c:v>
                </c:pt>
                <c:pt idx="405">
                  <c:v>6.006</c:v>
                </c:pt>
                <c:pt idx="406">
                  <c:v>5.648</c:v>
                </c:pt>
                <c:pt idx="407">
                  <c:v>6.103</c:v>
                </c:pt>
                <c:pt idx="408">
                  <c:v>5.565</c:v>
                </c:pt>
                <c:pt idx="409">
                  <c:v>5.896</c:v>
                </c:pt>
                <c:pt idx="410">
                  <c:v>5.837</c:v>
                </c:pt>
                <c:pt idx="411">
                  <c:v>6.202</c:v>
                </c:pt>
                <c:pt idx="412">
                  <c:v>6.193</c:v>
                </c:pt>
                <c:pt idx="413">
                  <c:v>6.38</c:v>
                </c:pt>
                <c:pt idx="414">
                  <c:v>6.348</c:v>
                </c:pt>
                <c:pt idx="415">
                  <c:v>6.833</c:v>
                </c:pt>
                <c:pt idx="416">
                  <c:v>6.425</c:v>
                </c:pt>
                <c:pt idx="417">
                  <c:v>6.436</c:v>
                </c:pt>
                <c:pt idx="418">
                  <c:v>6.208</c:v>
                </c:pt>
                <c:pt idx="419">
                  <c:v>6.629</c:v>
                </c:pt>
                <c:pt idx="420">
                  <c:v>6.461</c:v>
                </c:pt>
                <c:pt idx="421">
                  <c:v>6.152</c:v>
                </c:pt>
                <c:pt idx="422">
                  <c:v>5.935</c:v>
                </c:pt>
                <c:pt idx="423">
                  <c:v>5.627</c:v>
                </c:pt>
                <c:pt idx="424">
                  <c:v>5.818</c:v>
                </c:pt>
                <c:pt idx="425">
                  <c:v>6.406</c:v>
                </c:pt>
                <c:pt idx="426">
                  <c:v>6.219</c:v>
                </c:pt>
                <c:pt idx="427">
                  <c:v>6.485</c:v>
                </c:pt>
                <c:pt idx="428">
                  <c:v>5.854</c:v>
                </c:pt>
                <c:pt idx="429">
                  <c:v>6.459</c:v>
                </c:pt>
                <c:pt idx="430">
                  <c:v>6.341</c:v>
                </c:pt>
                <c:pt idx="431">
                  <c:v>6.251</c:v>
                </c:pt>
                <c:pt idx="432">
                  <c:v>6.185</c:v>
                </c:pt>
                <c:pt idx="433">
                  <c:v>6.417</c:v>
                </c:pt>
                <c:pt idx="434">
                  <c:v>6.749</c:v>
                </c:pt>
                <c:pt idx="435">
                  <c:v>6.655</c:v>
                </c:pt>
                <c:pt idx="436">
                  <c:v>6.297</c:v>
                </c:pt>
                <c:pt idx="437">
                  <c:v>7.393</c:v>
                </c:pt>
                <c:pt idx="438">
                  <c:v>6.728</c:v>
                </c:pt>
                <c:pt idx="439">
                  <c:v>6.525</c:v>
                </c:pt>
                <c:pt idx="440">
                  <c:v>5.976</c:v>
                </c:pt>
                <c:pt idx="441">
                  <c:v>5.936</c:v>
                </c:pt>
                <c:pt idx="442">
                  <c:v>6.301</c:v>
                </c:pt>
                <c:pt idx="443">
                  <c:v>6.081</c:v>
                </c:pt>
                <c:pt idx="444">
                  <c:v>6.701</c:v>
                </c:pt>
                <c:pt idx="445">
                  <c:v>6.376</c:v>
                </c:pt>
                <c:pt idx="446">
                  <c:v>6.317</c:v>
                </c:pt>
                <c:pt idx="447">
                  <c:v>6.513</c:v>
                </c:pt>
                <c:pt idx="448">
                  <c:v>6.209</c:v>
                </c:pt>
                <c:pt idx="449">
                  <c:v>5.759</c:v>
                </c:pt>
                <c:pt idx="450">
                  <c:v>5.952</c:v>
                </c:pt>
                <c:pt idx="451">
                  <c:v>6.003</c:v>
                </c:pt>
                <c:pt idx="452">
                  <c:v>5.926</c:v>
                </c:pt>
                <c:pt idx="453">
                  <c:v>5.713</c:v>
                </c:pt>
                <c:pt idx="454">
                  <c:v>6.167</c:v>
                </c:pt>
                <c:pt idx="455">
                  <c:v>6.229</c:v>
                </c:pt>
                <c:pt idx="456">
                  <c:v>6.437</c:v>
                </c:pt>
                <c:pt idx="457">
                  <c:v>6.98</c:v>
                </c:pt>
                <c:pt idx="458">
                  <c:v>5.427</c:v>
                </c:pt>
                <c:pt idx="459">
                  <c:v>6.162</c:v>
                </c:pt>
                <c:pt idx="460">
                  <c:v>6.484</c:v>
                </c:pt>
                <c:pt idx="461">
                  <c:v>5.304</c:v>
                </c:pt>
                <c:pt idx="462">
                  <c:v>6.185</c:v>
                </c:pt>
                <c:pt idx="463">
                  <c:v>6.229</c:v>
                </c:pt>
                <c:pt idx="464">
                  <c:v>6.242</c:v>
                </c:pt>
                <c:pt idx="465">
                  <c:v>6.75</c:v>
                </c:pt>
                <c:pt idx="466">
                  <c:v>7.061</c:v>
                </c:pt>
                <c:pt idx="467">
                  <c:v>5.762</c:v>
                </c:pt>
                <c:pt idx="468">
                  <c:v>5.871</c:v>
                </c:pt>
                <c:pt idx="469">
                  <c:v>6.312</c:v>
                </c:pt>
                <c:pt idx="470">
                  <c:v>6.114</c:v>
                </c:pt>
                <c:pt idx="471">
                  <c:v>5.905</c:v>
                </c:pt>
                <c:pt idx="472">
                  <c:v>5.454</c:v>
                </c:pt>
                <c:pt idx="473">
                  <c:v>5.414</c:v>
                </c:pt>
                <c:pt idx="474">
                  <c:v>5.093</c:v>
                </c:pt>
                <c:pt idx="475">
                  <c:v>5.983</c:v>
                </c:pt>
                <c:pt idx="476">
                  <c:v>5.983</c:v>
                </c:pt>
                <c:pt idx="477">
                  <c:v>5.707</c:v>
                </c:pt>
                <c:pt idx="478">
                  <c:v>5.926</c:v>
                </c:pt>
                <c:pt idx="479">
                  <c:v>5.67</c:v>
                </c:pt>
                <c:pt idx="480">
                  <c:v>5.39</c:v>
                </c:pt>
                <c:pt idx="481">
                  <c:v>5.794</c:v>
                </c:pt>
                <c:pt idx="482">
                  <c:v>6.019</c:v>
                </c:pt>
                <c:pt idx="483">
                  <c:v>5.569</c:v>
                </c:pt>
                <c:pt idx="484">
                  <c:v>6.027</c:v>
                </c:pt>
                <c:pt idx="485">
                  <c:v>6.593</c:v>
                </c:pt>
                <c:pt idx="486">
                  <c:v>6.12</c:v>
                </c:pt>
                <c:pt idx="487">
                  <c:v>6.976</c:v>
                </c:pt>
                <c:pt idx="488">
                  <c:v>6.794</c:v>
                </c:pt>
                <c:pt idx="489">
                  <c:v>6.03</c:v>
                </c:pt>
              </c:numCache>
            </c:numRef>
          </c:xVal>
          <c:yVal>
            <c:numRef>
              <c:f>Data!$N$1:$N$491</c:f>
              <c:numCache>
                <c:formatCode>0.00</c:formatCode>
                <c:ptCount val="491"/>
                <c:pt idx="1">
                  <c:v>24</c:v>
                </c:pt>
                <c:pt idx="2">
                  <c:v>21.6</c:v>
                </c:pt>
                <c:pt idx="3">
                  <c:v>34.7</c:v>
                </c:pt>
                <c:pt idx="4">
                  <c:v>33.4</c:v>
                </c:pt>
                <c:pt idx="5">
                  <c:v>36.2</c:v>
                </c:pt>
                <c:pt idx="6">
                  <c:v>28.7</c:v>
                </c:pt>
                <c:pt idx="7">
                  <c:v>22.9</c:v>
                </c:pt>
                <c:pt idx="8">
                  <c:v>27.1</c:v>
                </c:pt>
                <c:pt idx="9">
                  <c:v>16.5</c:v>
                </c:pt>
                <c:pt idx="10">
                  <c:v>18.9</c:v>
                </c:pt>
                <c:pt idx="11">
                  <c:v>15</c:v>
                </c:pt>
                <c:pt idx="12">
                  <c:v>18.9</c:v>
                </c:pt>
                <c:pt idx="13">
                  <c:v>21.7</c:v>
                </c:pt>
                <c:pt idx="14">
                  <c:v>20.4</c:v>
                </c:pt>
                <c:pt idx="15">
                  <c:v>18.2</c:v>
                </c:pt>
                <c:pt idx="16">
                  <c:v>19.9</c:v>
                </c:pt>
                <c:pt idx="17">
                  <c:v>23.1</c:v>
                </c:pt>
                <c:pt idx="18">
                  <c:v>17.5</c:v>
                </c:pt>
                <c:pt idx="19">
                  <c:v>20.2</c:v>
                </c:pt>
                <c:pt idx="20">
                  <c:v>18.2</c:v>
                </c:pt>
                <c:pt idx="21">
                  <c:v>13.6</c:v>
                </c:pt>
                <c:pt idx="22">
                  <c:v>19.6</c:v>
                </c:pt>
                <c:pt idx="23">
                  <c:v>15.2</c:v>
                </c:pt>
                <c:pt idx="24">
                  <c:v>14.5</c:v>
                </c:pt>
                <c:pt idx="25">
                  <c:v>15.6</c:v>
                </c:pt>
                <c:pt idx="26">
                  <c:v>13.9</c:v>
                </c:pt>
                <c:pt idx="27">
                  <c:v>16.6</c:v>
                </c:pt>
                <c:pt idx="28">
                  <c:v>14.8</c:v>
                </c:pt>
                <c:pt idx="29">
                  <c:v>18.4</c:v>
                </c:pt>
                <c:pt idx="30">
                  <c:v>21</c:v>
                </c:pt>
                <c:pt idx="31">
                  <c:v>12.7</c:v>
                </c:pt>
                <c:pt idx="32">
                  <c:v>14.5</c:v>
                </c:pt>
                <c:pt idx="33">
                  <c:v>13.2</c:v>
                </c:pt>
                <c:pt idx="34">
                  <c:v>13.1</c:v>
                </c:pt>
                <c:pt idx="35">
                  <c:v>13.5</c:v>
                </c:pt>
                <c:pt idx="36">
                  <c:v>18.9</c:v>
                </c:pt>
                <c:pt idx="37">
                  <c:v>20</c:v>
                </c:pt>
                <c:pt idx="38">
                  <c:v>21</c:v>
                </c:pt>
                <c:pt idx="39">
                  <c:v>24.7</c:v>
                </c:pt>
                <c:pt idx="40">
                  <c:v>30.8</c:v>
                </c:pt>
                <c:pt idx="41">
                  <c:v>34.9</c:v>
                </c:pt>
                <c:pt idx="42">
                  <c:v>26.6</c:v>
                </c:pt>
                <c:pt idx="43">
                  <c:v>25.3</c:v>
                </c:pt>
                <c:pt idx="44">
                  <c:v>24.7</c:v>
                </c:pt>
                <c:pt idx="45">
                  <c:v>21.2</c:v>
                </c:pt>
                <c:pt idx="46">
                  <c:v>19.3</c:v>
                </c:pt>
                <c:pt idx="47">
                  <c:v>20</c:v>
                </c:pt>
                <c:pt idx="48">
                  <c:v>16.6</c:v>
                </c:pt>
                <c:pt idx="49">
                  <c:v>14.4</c:v>
                </c:pt>
                <c:pt idx="50">
                  <c:v>19.4</c:v>
                </c:pt>
                <c:pt idx="51">
                  <c:v>19.7</c:v>
                </c:pt>
                <c:pt idx="52">
                  <c:v>20.5</c:v>
                </c:pt>
                <c:pt idx="53">
                  <c:v>25</c:v>
                </c:pt>
                <c:pt idx="54">
                  <c:v>23.4</c:v>
                </c:pt>
                <c:pt idx="55">
                  <c:v>18.9</c:v>
                </c:pt>
                <c:pt idx="56">
                  <c:v>35.4</c:v>
                </c:pt>
                <c:pt idx="57">
                  <c:v>24.7</c:v>
                </c:pt>
                <c:pt idx="58">
                  <c:v>31.6</c:v>
                </c:pt>
                <c:pt idx="59">
                  <c:v>23.3</c:v>
                </c:pt>
                <c:pt idx="60">
                  <c:v>19.6</c:v>
                </c:pt>
                <c:pt idx="61">
                  <c:v>18.7</c:v>
                </c:pt>
                <c:pt idx="62">
                  <c:v>16</c:v>
                </c:pt>
                <c:pt idx="63">
                  <c:v>22.2</c:v>
                </c:pt>
                <c:pt idx="64">
                  <c:v>25</c:v>
                </c:pt>
                <c:pt idx="65">
                  <c:v>33</c:v>
                </c:pt>
                <c:pt idx="66">
                  <c:v>23.5</c:v>
                </c:pt>
                <c:pt idx="67">
                  <c:v>19.4</c:v>
                </c:pt>
                <c:pt idx="68">
                  <c:v>22</c:v>
                </c:pt>
                <c:pt idx="69">
                  <c:v>17.4</c:v>
                </c:pt>
                <c:pt idx="70">
                  <c:v>20.9</c:v>
                </c:pt>
                <c:pt idx="71">
                  <c:v>24.2</c:v>
                </c:pt>
                <c:pt idx="72">
                  <c:v>21.7</c:v>
                </c:pt>
                <c:pt idx="73">
                  <c:v>22.8</c:v>
                </c:pt>
                <c:pt idx="74">
                  <c:v>23.4</c:v>
                </c:pt>
                <c:pt idx="75">
                  <c:v>24.1</c:v>
                </c:pt>
                <c:pt idx="76">
                  <c:v>21.4</c:v>
                </c:pt>
                <c:pt idx="77">
                  <c:v>20</c:v>
                </c:pt>
                <c:pt idx="78">
                  <c:v>20.8</c:v>
                </c:pt>
                <c:pt idx="79">
                  <c:v>21.2</c:v>
                </c:pt>
                <c:pt idx="80">
                  <c:v>20.3</c:v>
                </c:pt>
                <c:pt idx="81">
                  <c:v>28</c:v>
                </c:pt>
                <c:pt idx="82">
                  <c:v>23.9</c:v>
                </c:pt>
                <c:pt idx="83">
                  <c:v>24.8</c:v>
                </c:pt>
                <c:pt idx="84">
                  <c:v>22.9</c:v>
                </c:pt>
                <c:pt idx="85">
                  <c:v>23.9</c:v>
                </c:pt>
                <c:pt idx="86">
                  <c:v>26.6</c:v>
                </c:pt>
                <c:pt idx="87">
                  <c:v>22.5</c:v>
                </c:pt>
                <c:pt idx="88">
                  <c:v>22.2</c:v>
                </c:pt>
                <c:pt idx="89">
                  <c:v>23.6</c:v>
                </c:pt>
                <c:pt idx="90">
                  <c:v>28.7</c:v>
                </c:pt>
                <c:pt idx="91">
                  <c:v>22.6</c:v>
                </c:pt>
                <c:pt idx="92">
                  <c:v>22</c:v>
                </c:pt>
                <c:pt idx="93">
                  <c:v>22.9</c:v>
                </c:pt>
                <c:pt idx="94">
                  <c:v>25</c:v>
                </c:pt>
                <c:pt idx="95">
                  <c:v>20.6</c:v>
                </c:pt>
                <c:pt idx="96">
                  <c:v>28.4</c:v>
                </c:pt>
                <c:pt idx="97">
                  <c:v>21.4</c:v>
                </c:pt>
                <c:pt idx="98">
                  <c:v>38.7</c:v>
                </c:pt>
                <c:pt idx="99">
                  <c:v>43.8</c:v>
                </c:pt>
                <c:pt idx="100">
                  <c:v>33.2</c:v>
                </c:pt>
                <c:pt idx="101">
                  <c:v>27.5</c:v>
                </c:pt>
                <c:pt idx="102">
                  <c:v>26.5</c:v>
                </c:pt>
                <c:pt idx="103">
                  <c:v>18.6</c:v>
                </c:pt>
                <c:pt idx="104">
                  <c:v>19.3</c:v>
                </c:pt>
                <c:pt idx="105">
                  <c:v>20.1</c:v>
                </c:pt>
                <c:pt idx="106">
                  <c:v>19.5</c:v>
                </c:pt>
                <c:pt idx="107">
                  <c:v>19.5</c:v>
                </c:pt>
                <c:pt idx="108">
                  <c:v>20.4</c:v>
                </c:pt>
                <c:pt idx="109">
                  <c:v>19.8</c:v>
                </c:pt>
                <c:pt idx="110">
                  <c:v>19.4</c:v>
                </c:pt>
                <c:pt idx="111">
                  <c:v>21.7</c:v>
                </c:pt>
                <c:pt idx="112">
                  <c:v>22.8</c:v>
                </c:pt>
                <c:pt idx="113">
                  <c:v>18.8</c:v>
                </c:pt>
                <c:pt idx="114">
                  <c:v>18.7</c:v>
                </c:pt>
                <c:pt idx="115">
                  <c:v>18.5</c:v>
                </c:pt>
                <c:pt idx="116">
                  <c:v>18.3</c:v>
                </c:pt>
                <c:pt idx="117">
                  <c:v>21.2</c:v>
                </c:pt>
                <c:pt idx="118">
                  <c:v>19.2</c:v>
                </c:pt>
                <c:pt idx="119">
                  <c:v>20.4</c:v>
                </c:pt>
                <c:pt idx="120">
                  <c:v>19.3</c:v>
                </c:pt>
                <c:pt idx="121">
                  <c:v>22</c:v>
                </c:pt>
                <c:pt idx="122">
                  <c:v>20.3</c:v>
                </c:pt>
                <c:pt idx="123">
                  <c:v>20.5</c:v>
                </c:pt>
                <c:pt idx="124">
                  <c:v>17.3</c:v>
                </c:pt>
                <c:pt idx="125">
                  <c:v>18.8</c:v>
                </c:pt>
                <c:pt idx="126">
                  <c:v>21.4</c:v>
                </c:pt>
                <c:pt idx="127">
                  <c:v>15.7</c:v>
                </c:pt>
                <c:pt idx="128">
                  <c:v>16.2</c:v>
                </c:pt>
                <c:pt idx="129">
                  <c:v>18</c:v>
                </c:pt>
                <c:pt idx="130">
                  <c:v>14.3</c:v>
                </c:pt>
                <c:pt idx="131">
                  <c:v>19.2</c:v>
                </c:pt>
                <c:pt idx="132">
                  <c:v>19.6</c:v>
                </c:pt>
                <c:pt idx="133">
                  <c:v>23</c:v>
                </c:pt>
                <c:pt idx="134">
                  <c:v>18.4</c:v>
                </c:pt>
                <c:pt idx="135">
                  <c:v>15.6</c:v>
                </c:pt>
                <c:pt idx="136">
                  <c:v>18.1</c:v>
                </c:pt>
                <c:pt idx="137">
                  <c:v>17.4</c:v>
                </c:pt>
                <c:pt idx="138">
                  <c:v>17.1</c:v>
                </c:pt>
                <c:pt idx="139">
                  <c:v>13.3</c:v>
                </c:pt>
                <c:pt idx="140">
                  <c:v>17.8</c:v>
                </c:pt>
                <c:pt idx="141">
                  <c:v>14</c:v>
                </c:pt>
                <c:pt idx="142">
                  <c:v>14.4</c:v>
                </c:pt>
                <c:pt idx="143">
                  <c:v>13.4</c:v>
                </c:pt>
                <c:pt idx="144">
                  <c:v>15.6</c:v>
                </c:pt>
                <c:pt idx="145">
                  <c:v>11.8</c:v>
                </c:pt>
                <c:pt idx="146">
                  <c:v>13.8</c:v>
                </c:pt>
                <c:pt idx="147">
                  <c:v>15.6</c:v>
                </c:pt>
                <c:pt idx="148">
                  <c:v>14.6</c:v>
                </c:pt>
                <c:pt idx="149">
                  <c:v>17.8</c:v>
                </c:pt>
                <c:pt idx="150">
                  <c:v>15.4</c:v>
                </c:pt>
                <c:pt idx="151">
                  <c:v>21.5</c:v>
                </c:pt>
                <c:pt idx="152">
                  <c:v>19.6</c:v>
                </c:pt>
                <c:pt idx="153">
                  <c:v>15.3</c:v>
                </c:pt>
                <c:pt idx="154">
                  <c:v>19.4</c:v>
                </c:pt>
                <c:pt idx="155">
                  <c:v>17</c:v>
                </c:pt>
                <c:pt idx="156">
                  <c:v>15.6</c:v>
                </c:pt>
                <c:pt idx="157">
                  <c:v>13.1</c:v>
                </c:pt>
                <c:pt idx="158">
                  <c:v>41.3</c:v>
                </c:pt>
                <c:pt idx="159">
                  <c:v>24.3</c:v>
                </c:pt>
                <c:pt idx="160">
                  <c:v>23.3</c:v>
                </c:pt>
                <c:pt idx="161">
                  <c:v>27</c:v>
                </c:pt>
                <c:pt idx="162">
                  <c:v>22.7</c:v>
                </c:pt>
                <c:pt idx="163">
                  <c:v>25</c:v>
                </c:pt>
                <c:pt idx="164">
                  <c:v>23.8</c:v>
                </c:pt>
                <c:pt idx="165">
                  <c:v>23.8</c:v>
                </c:pt>
                <c:pt idx="166">
                  <c:v>22.3</c:v>
                </c:pt>
                <c:pt idx="167">
                  <c:v>17.4</c:v>
                </c:pt>
                <c:pt idx="168">
                  <c:v>19.1</c:v>
                </c:pt>
                <c:pt idx="169">
                  <c:v>23.1</c:v>
                </c:pt>
                <c:pt idx="170">
                  <c:v>23.6</c:v>
                </c:pt>
                <c:pt idx="171">
                  <c:v>22.6</c:v>
                </c:pt>
                <c:pt idx="172">
                  <c:v>29.4</c:v>
                </c:pt>
                <c:pt idx="173">
                  <c:v>23.2</c:v>
                </c:pt>
                <c:pt idx="174">
                  <c:v>24.6</c:v>
                </c:pt>
                <c:pt idx="175">
                  <c:v>29.9</c:v>
                </c:pt>
                <c:pt idx="176">
                  <c:v>37.2</c:v>
                </c:pt>
                <c:pt idx="177">
                  <c:v>39.8</c:v>
                </c:pt>
                <c:pt idx="178">
                  <c:v>36.2</c:v>
                </c:pt>
                <c:pt idx="179">
                  <c:v>37.9</c:v>
                </c:pt>
                <c:pt idx="180">
                  <c:v>32.5</c:v>
                </c:pt>
                <c:pt idx="181">
                  <c:v>26.4</c:v>
                </c:pt>
                <c:pt idx="182">
                  <c:v>29.6</c:v>
                </c:pt>
                <c:pt idx="183">
                  <c:v>32</c:v>
                </c:pt>
                <c:pt idx="184">
                  <c:v>29.8</c:v>
                </c:pt>
                <c:pt idx="185">
                  <c:v>34.9</c:v>
                </c:pt>
                <c:pt idx="186">
                  <c:v>37</c:v>
                </c:pt>
                <c:pt idx="187">
                  <c:v>30.5</c:v>
                </c:pt>
                <c:pt idx="188">
                  <c:v>36.4</c:v>
                </c:pt>
                <c:pt idx="189">
                  <c:v>31.1</c:v>
                </c:pt>
                <c:pt idx="190">
                  <c:v>29.1</c:v>
                </c:pt>
                <c:pt idx="191">
                  <c:v>33.3</c:v>
                </c:pt>
                <c:pt idx="192">
                  <c:v>30.3</c:v>
                </c:pt>
                <c:pt idx="193">
                  <c:v>34.6</c:v>
                </c:pt>
                <c:pt idx="194">
                  <c:v>34.9</c:v>
                </c:pt>
                <c:pt idx="195">
                  <c:v>32.9</c:v>
                </c:pt>
                <c:pt idx="196">
                  <c:v>24.1</c:v>
                </c:pt>
                <c:pt idx="197">
                  <c:v>42.3</c:v>
                </c:pt>
                <c:pt idx="198">
                  <c:v>48.5</c:v>
                </c:pt>
                <c:pt idx="199">
                  <c:v>22.6</c:v>
                </c:pt>
                <c:pt idx="200">
                  <c:v>24.4</c:v>
                </c:pt>
                <c:pt idx="201">
                  <c:v>22.5</c:v>
                </c:pt>
                <c:pt idx="202">
                  <c:v>24.4</c:v>
                </c:pt>
                <c:pt idx="203">
                  <c:v>20</c:v>
                </c:pt>
                <c:pt idx="204">
                  <c:v>21.7</c:v>
                </c:pt>
                <c:pt idx="205">
                  <c:v>19.3</c:v>
                </c:pt>
                <c:pt idx="206">
                  <c:v>22.4</c:v>
                </c:pt>
                <c:pt idx="207">
                  <c:v>28.1</c:v>
                </c:pt>
                <c:pt idx="208">
                  <c:v>23.7</c:v>
                </c:pt>
                <c:pt idx="209">
                  <c:v>25</c:v>
                </c:pt>
                <c:pt idx="210">
                  <c:v>23.3</c:v>
                </c:pt>
                <c:pt idx="211">
                  <c:v>28.7</c:v>
                </c:pt>
                <c:pt idx="212">
                  <c:v>21.5</c:v>
                </c:pt>
                <c:pt idx="213">
                  <c:v>23</c:v>
                </c:pt>
                <c:pt idx="214">
                  <c:v>26.7</c:v>
                </c:pt>
                <c:pt idx="215">
                  <c:v>21.7</c:v>
                </c:pt>
                <c:pt idx="216">
                  <c:v>27.5</c:v>
                </c:pt>
                <c:pt idx="217">
                  <c:v>30.1</c:v>
                </c:pt>
                <c:pt idx="218">
                  <c:v>44.8</c:v>
                </c:pt>
                <c:pt idx="219">
                  <c:v>37.6</c:v>
                </c:pt>
                <c:pt idx="220">
                  <c:v>31.6</c:v>
                </c:pt>
                <c:pt idx="221">
                  <c:v>46.7</c:v>
                </c:pt>
                <c:pt idx="222">
                  <c:v>31.5</c:v>
                </c:pt>
                <c:pt idx="223">
                  <c:v>24.3</c:v>
                </c:pt>
                <c:pt idx="224">
                  <c:v>31.7</c:v>
                </c:pt>
                <c:pt idx="225">
                  <c:v>41.7</c:v>
                </c:pt>
                <c:pt idx="226">
                  <c:v>48.3</c:v>
                </c:pt>
                <c:pt idx="227">
                  <c:v>29</c:v>
                </c:pt>
                <c:pt idx="228">
                  <c:v>24</c:v>
                </c:pt>
                <c:pt idx="229">
                  <c:v>25.1</c:v>
                </c:pt>
                <c:pt idx="230">
                  <c:v>31.5</c:v>
                </c:pt>
                <c:pt idx="231">
                  <c:v>23.7</c:v>
                </c:pt>
                <c:pt idx="232">
                  <c:v>23.3</c:v>
                </c:pt>
                <c:pt idx="233">
                  <c:v>22</c:v>
                </c:pt>
                <c:pt idx="234">
                  <c:v>20.1</c:v>
                </c:pt>
                <c:pt idx="235">
                  <c:v>22.2</c:v>
                </c:pt>
                <c:pt idx="236">
                  <c:v>23.7</c:v>
                </c:pt>
                <c:pt idx="237">
                  <c:v>17.6</c:v>
                </c:pt>
                <c:pt idx="238">
                  <c:v>18.5</c:v>
                </c:pt>
                <c:pt idx="239">
                  <c:v>24.3</c:v>
                </c:pt>
                <c:pt idx="240">
                  <c:v>20.5</c:v>
                </c:pt>
                <c:pt idx="241">
                  <c:v>24.5</c:v>
                </c:pt>
                <c:pt idx="242">
                  <c:v>26.2</c:v>
                </c:pt>
                <c:pt idx="243">
                  <c:v>24.4</c:v>
                </c:pt>
                <c:pt idx="244">
                  <c:v>24.8</c:v>
                </c:pt>
                <c:pt idx="245">
                  <c:v>29.6</c:v>
                </c:pt>
                <c:pt idx="246">
                  <c:v>42.8</c:v>
                </c:pt>
                <c:pt idx="247">
                  <c:v>21.9</c:v>
                </c:pt>
                <c:pt idx="248">
                  <c:v>20.9</c:v>
                </c:pt>
                <c:pt idx="249">
                  <c:v>44</c:v>
                </c:pt>
                <c:pt idx="250">
                  <c:v>36</c:v>
                </c:pt>
                <c:pt idx="251">
                  <c:v>30.1</c:v>
                </c:pt>
                <c:pt idx="252">
                  <c:v>33.8</c:v>
                </c:pt>
                <c:pt idx="253">
                  <c:v>43.1</c:v>
                </c:pt>
                <c:pt idx="254">
                  <c:v>48.8</c:v>
                </c:pt>
                <c:pt idx="255">
                  <c:v>31</c:v>
                </c:pt>
                <c:pt idx="256">
                  <c:v>36.5</c:v>
                </c:pt>
                <c:pt idx="257">
                  <c:v>22.8</c:v>
                </c:pt>
                <c:pt idx="258">
                  <c:v>30.7</c:v>
                </c:pt>
                <c:pt idx="259">
                  <c:v>43.5</c:v>
                </c:pt>
                <c:pt idx="260">
                  <c:v>20.7</c:v>
                </c:pt>
                <c:pt idx="261">
                  <c:v>21.1</c:v>
                </c:pt>
                <c:pt idx="262">
                  <c:v>25.2</c:v>
                </c:pt>
                <c:pt idx="263">
                  <c:v>24.4</c:v>
                </c:pt>
                <c:pt idx="264">
                  <c:v>35.2</c:v>
                </c:pt>
                <c:pt idx="265">
                  <c:v>32.4</c:v>
                </c:pt>
                <c:pt idx="266">
                  <c:v>32</c:v>
                </c:pt>
                <c:pt idx="267">
                  <c:v>33.2</c:v>
                </c:pt>
                <c:pt idx="268">
                  <c:v>33.1</c:v>
                </c:pt>
                <c:pt idx="269">
                  <c:v>29.1</c:v>
                </c:pt>
                <c:pt idx="270">
                  <c:v>35.1</c:v>
                </c:pt>
                <c:pt idx="271">
                  <c:v>45.4</c:v>
                </c:pt>
                <c:pt idx="272">
                  <c:v>35.4</c:v>
                </c:pt>
                <c:pt idx="273">
                  <c:v>46</c:v>
                </c:pt>
                <c:pt idx="274">
                  <c:v>32.2</c:v>
                </c:pt>
                <c:pt idx="275">
                  <c:v>22</c:v>
                </c:pt>
                <c:pt idx="276">
                  <c:v>20.1</c:v>
                </c:pt>
                <c:pt idx="277">
                  <c:v>23.2</c:v>
                </c:pt>
                <c:pt idx="278">
                  <c:v>22.3</c:v>
                </c:pt>
                <c:pt idx="279">
                  <c:v>24.8</c:v>
                </c:pt>
                <c:pt idx="280">
                  <c:v>28.5</c:v>
                </c:pt>
                <c:pt idx="281">
                  <c:v>37.3</c:v>
                </c:pt>
                <c:pt idx="282">
                  <c:v>27.9</c:v>
                </c:pt>
                <c:pt idx="283">
                  <c:v>23.9</c:v>
                </c:pt>
                <c:pt idx="284">
                  <c:v>21.7</c:v>
                </c:pt>
                <c:pt idx="285">
                  <c:v>28.6</c:v>
                </c:pt>
                <c:pt idx="286">
                  <c:v>27.1</c:v>
                </c:pt>
                <c:pt idx="287">
                  <c:v>20.3</c:v>
                </c:pt>
                <c:pt idx="288">
                  <c:v>22.5</c:v>
                </c:pt>
                <c:pt idx="289">
                  <c:v>29</c:v>
                </c:pt>
                <c:pt idx="290">
                  <c:v>24.8</c:v>
                </c:pt>
                <c:pt idx="291">
                  <c:v>22</c:v>
                </c:pt>
                <c:pt idx="292">
                  <c:v>26.4</c:v>
                </c:pt>
                <c:pt idx="293">
                  <c:v>33.1</c:v>
                </c:pt>
                <c:pt idx="294">
                  <c:v>36.1</c:v>
                </c:pt>
                <c:pt idx="295">
                  <c:v>28.4</c:v>
                </c:pt>
                <c:pt idx="296">
                  <c:v>33.4</c:v>
                </c:pt>
                <c:pt idx="297">
                  <c:v>28.2</c:v>
                </c:pt>
                <c:pt idx="298">
                  <c:v>22.8</c:v>
                </c:pt>
                <c:pt idx="299">
                  <c:v>20.3</c:v>
                </c:pt>
                <c:pt idx="300">
                  <c:v>16.1</c:v>
                </c:pt>
                <c:pt idx="301">
                  <c:v>22.1</c:v>
                </c:pt>
                <c:pt idx="302">
                  <c:v>19.4</c:v>
                </c:pt>
                <c:pt idx="303">
                  <c:v>21.6</c:v>
                </c:pt>
                <c:pt idx="304">
                  <c:v>23.8</c:v>
                </c:pt>
                <c:pt idx="305">
                  <c:v>16.2</c:v>
                </c:pt>
                <c:pt idx="306">
                  <c:v>17.8</c:v>
                </c:pt>
                <c:pt idx="307">
                  <c:v>19.8</c:v>
                </c:pt>
                <c:pt idx="308">
                  <c:v>23.1</c:v>
                </c:pt>
                <c:pt idx="309">
                  <c:v>21</c:v>
                </c:pt>
                <c:pt idx="310">
                  <c:v>23.8</c:v>
                </c:pt>
                <c:pt idx="311">
                  <c:v>23.1</c:v>
                </c:pt>
                <c:pt idx="312">
                  <c:v>20.4</c:v>
                </c:pt>
                <c:pt idx="313">
                  <c:v>18.5</c:v>
                </c:pt>
                <c:pt idx="314">
                  <c:v>25</c:v>
                </c:pt>
                <c:pt idx="315">
                  <c:v>24.6</c:v>
                </c:pt>
                <c:pt idx="316">
                  <c:v>23</c:v>
                </c:pt>
                <c:pt idx="317">
                  <c:v>22.2</c:v>
                </c:pt>
                <c:pt idx="318">
                  <c:v>19.3</c:v>
                </c:pt>
                <c:pt idx="319">
                  <c:v>22.6</c:v>
                </c:pt>
                <c:pt idx="320">
                  <c:v>19.8</c:v>
                </c:pt>
                <c:pt idx="321">
                  <c:v>17.1</c:v>
                </c:pt>
                <c:pt idx="322">
                  <c:v>19.4</c:v>
                </c:pt>
                <c:pt idx="323">
                  <c:v>22.2</c:v>
                </c:pt>
                <c:pt idx="324">
                  <c:v>20.7</c:v>
                </c:pt>
                <c:pt idx="325">
                  <c:v>21.1</c:v>
                </c:pt>
                <c:pt idx="326">
                  <c:v>19.5</c:v>
                </c:pt>
                <c:pt idx="327">
                  <c:v>18.5</c:v>
                </c:pt>
                <c:pt idx="328">
                  <c:v>20.6</c:v>
                </c:pt>
                <c:pt idx="329">
                  <c:v>19</c:v>
                </c:pt>
                <c:pt idx="330">
                  <c:v>18.7</c:v>
                </c:pt>
                <c:pt idx="331">
                  <c:v>32.7</c:v>
                </c:pt>
                <c:pt idx="332">
                  <c:v>16.5</c:v>
                </c:pt>
                <c:pt idx="333">
                  <c:v>23.9</c:v>
                </c:pt>
                <c:pt idx="334">
                  <c:v>31.2</c:v>
                </c:pt>
                <c:pt idx="335">
                  <c:v>17.5</c:v>
                </c:pt>
                <c:pt idx="336">
                  <c:v>17.2</c:v>
                </c:pt>
                <c:pt idx="337">
                  <c:v>23.1</c:v>
                </c:pt>
                <c:pt idx="338">
                  <c:v>24.5</c:v>
                </c:pt>
                <c:pt idx="339">
                  <c:v>26.6</c:v>
                </c:pt>
                <c:pt idx="340">
                  <c:v>22.9</c:v>
                </c:pt>
                <c:pt idx="341">
                  <c:v>24.1</c:v>
                </c:pt>
                <c:pt idx="342">
                  <c:v>18.6</c:v>
                </c:pt>
                <c:pt idx="343">
                  <c:v>30.1</c:v>
                </c:pt>
                <c:pt idx="344">
                  <c:v>18.2</c:v>
                </c:pt>
                <c:pt idx="345">
                  <c:v>20.6</c:v>
                </c:pt>
                <c:pt idx="346">
                  <c:v>17.8</c:v>
                </c:pt>
                <c:pt idx="347">
                  <c:v>21.7</c:v>
                </c:pt>
                <c:pt idx="348">
                  <c:v>22.7</c:v>
                </c:pt>
                <c:pt idx="349">
                  <c:v>22.6</c:v>
                </c:pt>
                <c:pt idx="350">
                  <c:v>25</c:v>
                </c:pt>
                <c:pt idx="351">
                  <c:v>19.9</c:v>
                </c:pt>
                <c:pt idx="352">
                  <c:v>20.8</c:v>
                </c:pt>
                <c:pt idx="353">
                  <c:v>16.8</c:v>
                </c:pt>
                <c:pt idx="354">
                  <c:v>21.9</c:v>
                </c:pt>
                <c:pt idx="355">
                  <c:v>27.5</c:v>
                </c:pt>
                <c:pt idx="356">
                  <c:v>21.9</c:v>
                </c:pt>
                <c:pt idx="357">
                  <c:v>23.1</c:v>
                </c:pt>
                <c:pt idx="358">
                  <c:v>13.8</c:v>
                </c:pt>
                <c:pt idx="359">
                  <c:v>13.8</c:v>
                </c:pt>
                <c:pt idx="360">
                  <c:v>15</c:v>
                </c:pt>
                <c:pt idx="361">
                  <c:v>13.9</c:v>
                </c:pt>
                <c:pt idx="362">
                  <c:v>13.3</c:v>
                </c:pt>
                <c:pt idx="363">
                  <c:v>13.1</c:v>
                </c:pt>
                <c:pt idx="364">
                  <c:v>10.2</c:v>
                </c:pt>
                <c:pt idx="365">
                  <c:v>10.4</c:v>
                </c:pt>
                <c:pt idx="366">
                  <c:v>10.9</c:v>
                </c:pt>
                <c:pt idx="367">
                  <c:v>11.3</c:v>
                </c:pt>
                <c:pt idx="368">
                  <c:v>12.3</c:v>
                </c:pt>
                <c:pt idx="369">
                  <c:v>8.8</c:v>
                </c:pt>
                <c:pt idx="370">
                  <c:v>7.2</c:v>
                </c:pt>
                <c:pt idx="371">
                  <c:v>10.5</c:v>
                </c:pt>
                <c:pt idx="372">
                  <c:v>7.4</c:v>
                </c:pt>
                <c:pt idx="373">
                  <c:v>10.2</c:v>
                </c:pt>
                <c:pt idx="374">
                  <c:v>11.5</c:v>
                </c:pt>
                <c:pt idx="375">
                  <c:v>15.1</c:v>
                </c:pt>
                <c:pt idx="376">
                  <c:v>23.2</c:v>
                </c:pt>
                <c:pt idx="377">
                  <c:v>9.7</c:v>
                </c:pt>
                <c:pt idx="378">
                  <c:v>13.8</c:v>
                </c:pt>
                <c:pt idx="379">
                  <c:v>12.7</c:v>
                </c:pt>
                <c:pt idx="380">
                  <c:v>13.1</c:v>
                </c:pt>
                <c:pt idx="381">
                  <c:v>12.5</c:v>
                </c:pt>
                <c:pt idx="382">
                  <c:v>8.5</c:v>
                </c:pt>
                <c:pt idx="383">
                  <c:v>5</c:v>
                </c:pt>
                <c:pt idx="384">
                  <c:v>6.3</c:v>
                </c:pt>
                <c:pt idx="385">
                  <c:v>5.6</c:v>
                </c:pt>
                <c:pt idx="386">
                  <c:v>7.2</c:v>
                </c:pt>
                <c:pt idx="387">
                  <c:v>12.1</c:v>
                </c:pt>
                <c:pt idx="388">
                  <c:v>8.3</c:v>
                </c:pt>
                <c:pt idx="389">
                  <c:v>8.5</c:v>
                </c:pt>
                <c:pt idx="390">
                  <c:v>5</c:v>
                </c:pt>
                <c:pt idx="391">
                  <c:v>11.9</c:v>
                </c:pt>
                <c:pt idx="392">
                  <c:v>27.9</c:v>
                </c:pt>
                <c:pt idx="393">
                  <c:v>17.2</c:v>
                </c:pt>
                <c:pt idx="394">
                  <c:v>27.5</c:v>
                </c:pt>
                <c:pt idx="395">
                  <c:v>15</c:v>
                </c:pt>
                <c:pt idx="396">
                  <c:v>17.2</c:v>
                </c:pt>
                <c:pt idx="397">
                  <c:v>17.9</c:v>
                </c:pt>
                <c:pt idx="398">
                  <c:v>16.3</c:v>
                </c:pt>
                <c:pt idx="399">
                  <c:v>7</c:v>
                </c:pt>
                <c:pt idx="400">
                  <c:v>7.2</c:v>
                </c:pt>
                <c:pt idx="401">
                  <c:v>7.5</c:v>
                </c:pt>
                <c:pt idx="402">
                  <c:v>10.4</c:v>
                </c:pt>
                <c:pt idx="403">
                  <c:v>8.8</c:v>
                </c:pt>
                <c:pt idx="404">
                  <c:v>8.4</c:v>
                </c:pt>
                <c:pt idx="405">
                  <c:v>16.7</c:v>
                </c:pt>
                <c:pt idx="406">
                  <c:v>14.2</c:v>
                </c:pt>
                <c:pt idx="407">
                  <c:v>20.8</c:v>
                </c:pt>
                <c:pt idx="408">
                  <c:v>13.4</c:v>
                </c:pt>
                <c:pt idx="409">
                  <c:v>11.7</c:v>
                </c:pt>
                <c:pt idx="410">
                  <c:v>8.3</c:v>
                </c:pt>
                <c:pt idx="411">
                  <c:v>10.2</c:v>
                </c:pt>
                <c:pt idx="412">
                  <c:v>10.9</c:v>
                </c:pt>
                <c:pt idx="413">
                  <c:v>11</c:v>
                </c:pt>
                <c:pt idx="414">
                  <c:v>9.5</c:v>
                </c:pt>
                <c:pt idx="415">
                  <c:v>14.5</c:v>
                </c:pt>
                <c:pt idx="416">
                  <c:v>14.1</c:v>
                </c:pt>
                <c:pt idx="417">
                  <c:v>16.1</c:v>
                </c:pt>
                <c:pt idx="418">
                  <c:v>14.3</c:v>
                </c:pt>
                <c:pt idx="419">
                  <c:v>11.7</c:v>
                </c:pt>
                <c:pt idx="420">
                  <c:v>13.4</c:v>
                </c:pt>
                <c:pt idx="421">
                  <c:v>9.6</c:v>
                </c:pt>
                <c:pt idx="422">
                  <c:v>8.7</c:v>
                </c:pt>
                <c:pt idx="423">
                  <c:v>8.4</c:v>
                </c:pt>
                <c:pt idx="424">
                  <c:v>12.8</c:v>
                </c:pt>
                <c:pt idx="425">
                  <c:v>10.5</c:v>
                </c:pt>
                <c:pt idx="426">
                  <c:v>17.1</c:v>
                </c:pt>
                <c:pt idx="427">
                  <c:v>18.4</c:v>
                </c:pt>
                <c:pt idx="428">
                  <c:v>15.4</c:v>
                </c:pt>
                <c:pt idx="429">
                  <c:v>10.8</c:v>
                </c:pt>
                <c:pt idx="430">
                  <c:v>11.8</c:v>
                </c:pt>
                <c:pt idx="431">
                  <c:v>14.9</c:v>
                </c:pt>
                <c:pt idx="432">
                  <c:v>12.6</c:v>
                </c:pt>
                <c:pt idx="433">
                  <c:v>14.1</c:v>
                </c:pt>
                <c:pt idx="434">
                  <c:v>13</c:v>
                </c:pt>
                <c:pt idx="435">
                  <c:v>13.4</c:v>
                </c:pt>
                <c:pt idx="436">
                  <c:v>15.2</c:v>
                </c:pt>
                <c:pt idx="437">
                  <c:v>16.1</c:v>
                </c:pt>
                <c:pt idx="438">
                  <c:v>17.8</c:v>
                </c:pt>
                <c:pt idx="439">
                  <c:v>14.9</c:v>
                </c:pt>
                <c:pt idx="440">
                  <c:v>14.1</c:v>
                </c:pt>
                <c:pt idx="441">
                  <c:v>12.7</c:v>
                </c:pt>
                <c:pt idx="442">
                  <c:v>13.5</c:v>
                </c:pt>
                <c:pt idx="443">
                  <c:v>14.9</c:v>
                </c:pt>
                <c:pt idx="444">
                  <c:v>20</c:v>
                </c:pt>
                <c:pt idx="445">
                  <c:v>16.4</c:v>
                </c:pt>
                <c:pt idx="446">
                  <c:v>17.7</c:v>
                </c:pt>
                <c:pt idx="447">
                  <c:v>19.5</c:v>
                </c:pt>
                <c:pt idx="448">
                  <c:v>20.2</c:v>
                </c:pt>
                <c:pt idx="449">
                  <c:v>21.4</c:v>
                </c:pt>
                <c:pt idx="450">
                  <c:v>19.9</c:v>
                </c:pt>
                <c:pt idx="451">
                  <c:v>19</c:v>
                </c:pt>
                <c:pt idx="452">
                  <c:v>19.1</c:v>
                </c:pt>
                <c:pt idx="453">
                  <c:v>19.1</c:v>
                </c:pt>
                <c:pt idx="454">
                  <c:v>20.1</c:v>
                </c:pt>
                <c:pt idx="455">
                  <c:v>19.9</c:v>
                </c:pt>
                <c:pt idx="456">
                  <c:v>19.6</c:v>
                </c:pt>
                <c:pt idx="457">
                  <c:v>23.2</c:v>
                </c:pt>
                <c:pt idx="458">
                  <c:v>29.8</c:v>
                </c:pt>
                <c:pt idx="459">
                  <c:v>13.8</c:v>
                </c:pt>
                <c:pt idx="460">
                  <c:v>13.3</c:v>
                </c:pt>
                <c:pt idx="461">
                  <c:v>16.7</c:v>
                </c:pt>
                <c:pt idx="462">
                  <c:v>12</c:v>
                </c:pt>
                <c:pt idx="463">
                  <c:v>14.6</c:v>
                </c:pt>
                <c:pt idx="464">
                  <c:v>21.4</c:v>
                </c:pt>
                <c:pt idx="465">
                  <c:v>23</c:v>
                </c:pt>
                <c:pt idx="466">
                  <c:v>23.7</c:v>
                </c:pt>
                <c:pt idx="467">
                  <c:v>25</c:v>
                </c:pt>
                <c:pt idx="468">
                  <c:v>21.8</c:v>
                </c:pt>
                <c:pt idx="469">
                  <c:v>20.6</c:v>
                </c:pt>
                <c:pt idx="470">
                  <c:v>21.2</c:v>
                </c:pt>
                <c:pt idx="471">
                  <c:v>19.1</c:v>
                </c:pt>
                <c:pt idx="472">
                  <c:v>20.6</c:v>
                </c:pt>
                <c:pt idx="473">
                  <c:v>15.2</c:v>
                </c:pt>
                <c:pt idx="474">
                  <c:v>7</c:v>
                </c:pt>
                <c:pt idx="475">
                  <c:v>8.1</c:v>
                </c:pt>
                <c:pt idx="476">
                  <c:v>13.6</c:v>
                </c:pt>
                <c:pt idx="477">
                  <c:v>20.1</c:v>
                </c:pt>
                <c:pt idx="478">
                  <c:v>21.8</c:v>
                </c:pt>
                <c:pt idx="479">
                  <c:v>24.5</c:v>
                </c:pt>
                <c:pt idx="480">
                  <c:v>23.1</c:v>
                </c:pt>
                <c:pt idx="481">
                  <c:v>19.7</c:v>
                </c:pt>
                <c:pt idx="482">
                  <c:v>18.3</c:v>
                </c:pt>
                <c:pt idx="483">
                  <c:v>21.2</c:v>
                </c:pt>
                <c:pt idx="484">
                  <c:v>17.5</c:v>
                </c:pt>
                <c:pt idx="485">
                  <c:v>16.8</c:v>
                </c:pt>
                <c:pt idx="486">
                  <c:v>22.4</c:v>
                </c:pt>
                <c:pt idx="487">
                  <c:v>20.6</c:v>
                </c:pt>
                <c:pt idx="488">
                  <c:v>23.9</c:v>
                </c:pt>
                <c:pt idx="489">
                  <c:v>22</c:v>
                </c:pt>
                <c:pt idx="490">
                  <c:v>11.9</c:v>
                </c:pt>
              </c:numCache>
            </c:numRef>
          </c:yVal>
          <c:smooth val="1"/>
        </c:ser>
        <c:axId val="76285240"/>
        <c:axId val="54437114"/>
      </c:scatterChart>
      <c:valAx>
        <c:axId val="762852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100" spc="-1" strike="noStrike">
                    <a:solidFill>
                      <a:srgbClr val="44546a"/>
                    </a:solidFill>
                    <a:latin typeface="Calibri"/>
                  </a:defRPr>
                </a:pPr>
                <a:r>
                  <a:rPr b="1" sz="1100" spc="-1" strike="noStrike">
                    <a:solidFill>
                      <a:srgbClr val="44546a"/>
                    </a:solidFill>
                    <a:latin typeface="Calibri"/>
                  </a:rPr>
                  <a:t>Average Rooms per Dwelling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4546a"/>
                </a:solidFill>
                <a:latin typeface="Calibri"/>
              </a:defRPr>
            </a:pPr>
          </a:p>
        </c:txPr>
        <c:crossAx val="54437114"/>
        <c:crosses val="autoZero"/>
        <c:crossBetween val="midCat"/>
      </c:valAx>
      <c:valAx>
        <c:axId val="5443711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d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100" spc="-1" strike="noStrike">
                    <a:solidFill>
                      <a:srgbClr val="44546a"/>
                    </a:solidFill>
                    <a:latin typeface="Calibri"/>
                  </a:defRPr>
                </a:pPr>
                <a:r>
                  <a:rPr b="1" sz="1100" spc="-1" strike="noStrike">
                    <a:solidFill>
                      <a:srgbClr val="44546a"/>
                    </a:solidFill>
                    <a:latin typeface="Calibri"/>
                  </a:rPr>
                  <a:t>Price ($1000s)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4546a"/>
                </a:solidFill>
                <a:latin typeface="Calibri"/>
              </a:defRPr>
            </a:pPr>
          </a:p>
        </c:txPr>
        <c:crossAx val="76285240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0b1f3a"/>
                </a:solidFill>
                <a:latin typeface="Arial"/>
              </a:defRPr>
            </a:pPr>
            <a:r>
              <a:rPr b="1" sz="1400" spc="-1" strike="noStrike">
                <a:solidFill>
                  <a:srgbClr val="0b1f3a"/>
                </a:solidFill>
                <a:latin typeface="Arial"/>
              </a:rPr>
              <a:t>Lower-Income Areas, Lower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"Homes"</c:f>
              <c:strCache>
                <c:ptCount val="1"/>
                <c:pt idx="0">
                  <c:v>Homes</c:v>
                </c:pt>
              </c:strCache>
            </c:strRef>
          </c:tx>
          <c:spPr>
            <a:solidFill>
              <a:srgbClr val="b23a3a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b23a3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28080">
                <a:solidFill>
                  <a:srgbClr val="0b1f3a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xVal>
            <c:numRef>
              <c:f>Data!$M$2:$M$491</c:f>
              <c:numCache>
                <c:formatCode>0.00</c:formatCode>
                <c:ptCount val="490"/>
                <c:pt idx="0">
                  <c:v>4.98</c:v>
                </c:pt>
                <c:pt idx="1">
                  <c:v>9.14</c:v>
                </c:pt>
                <c:pt idx="2">
                  <c:v>4.03</c:v>
                </c:pt>
                <c:pt idx="3">
                  <c:v>2.94</c:v>
                </c:pt>
                <c:pt idx="4">
                  <c:v>5.33</c:v>
                </c:pt>
                <c:pt idx="5">
                  <c:v>5.21</c:v>
                </c:pt>
                <c:pt idx="6">
                  <c:v>12.43</c:v>
                </c:pt>
                <c:pt idx="7">
                  <c:v>19.15</c:v>
                </c:pt>
                <c:pt idx="8">
                  <c:v>29.93</c:v>
                </c:pt>
                <c:pt idx="9">
                  <c:v>17.1</c:v>
                </c:pt>
                <c:pt idx="10">
                  <c:v>20.45</c:v>
                </c:pt>
                <c:pt idx="11">
                  <c:v>13.27</c:v>
                </c:pt>
                <c:pt idx="12">
                  <c:v>15.71</c:v>
                </c:pt>
                <c:pt idx="13">
                  <c:v>8.26</c:v>
                </c:pt>
                <c:pt idx="14">
                  <c:v>10.26</c:v>
                </c:pt>
                <c:pt idx="15">
                  <c:v>8.47</c:v>
                </c:pt>
                <c:pt idx="16">
                  <c:v>6.58</c:v>
                </c:pt>
                <c:pt idx="17">
                  <c:v>14.67</c:v>
                </c:pt>
                <c:pt idx="18">
                  <c:v>11.69</c:v>
                </c:pt>
                <c:pt idx="19">
                  <c:v>11.28</c:v>
                </c:pt>
                <c:pt idx="20">
                  <c:v>21.02</c:v>
                </c:pt>
                <c:pt idx="21">
                  <c:v>13.83</c:v>
                </c:pt>
                <c:pt idx="22">
                  <c:v>18.72</c:v>
                </c:pt>
                <c:pt idx="23">
                  <c:v>19.88</c:v>
                </c:pt>
                <c:pt idx="24">
                  <c:v>16.3</c:v>
                </c:pt>
                <c:pt idx="25">
                  <c:v>16.51</c:v>
                </c:pt>
                <c:pt idx="26">
                  <c:v>14.81</c:v>
                </c:pt>
                <c:pt idx="27">
                  <c:v>17.28</c:v>
                </c:pt>
                <c:pt idx="28">
                  <c:v>12.8</c:v>
                </c:pt>
                <c:pt idx="29">
                  <c:v>11.98</c:v>
                </c:pt>
                <c:pt idx="30">
                  <c:v>22.6</c:v>
                </c:pt>
                <c:pt idx="31">
                  <c:v>13.04</c:v>
                </c:pt>
                <c:pt idx="32">
                  <c:v>27.71</c:v>
                </c:pt>
                <c:pt idx="33">
                  <c:v>18.35</c:v>
                </c:pt>
                <c:pt idx="34">
                  <c:v>20.34</c:v>
                </c:pt>
                <c:pt idx="35">
                  <c:v>9.68</c:v>
                </c:pt>
                <c:pt idx="36">
                  <c:v>11.41</c:v>
                </c:pt>
                <c:pt idx="37">
                  <c:v>8.77</c:v>
                </c:pt>
                <c:pt idx="38">
                  <c:v>10.13</c:v>
                </c:pt>
                <c:pt idx="39">
                  <c:v>4.32</c:v>
                </c:pt>
                <c:pt idx="40">
                  <c:v>1.98</c:v>
                </c:pt>
                <c:pt idx="41">
                  <c:v>4.84</c:v>
                </c:pt>
                <c:pt idx="42">
                  <c:v>5.81</c:v>
                </c:pt>
                <c:pt idx="43">
                  <c:v>7.44</c:v>
                </c:pt>
                <c:pt idx="44">
                  <c:v>9.55</c:v>
                </c:pt>
                <c:pt idx="45">
                  <c:v>10.21</c:v>
                </c:pt>
                <c:pt idx="46">
                  <c:v>14.15</c:v>
                </c:pt>
                <c:pt idx="47">
                  <c:v>18.8</c:v>
                </c:pt>
                <c:pt idx="48">
                  <c:v>30.81</c:v>
                </c:pt>
                <c:pt idx="49">
                  <c:v>16.2</c:v>
                </c:pt>
                <c:pt idx="50">
                  <c:v>13.45</c:v>
                </c:pt>
                <c:pt idx="51">
                  <c:v>9.43</c:v>
                </c:pt>
                <c:pt idx="52">
                  <c:v>5.28</c:v>
                </c:pt>
                <c:pt idx="53">
                  <c:v>8.43</c:v>
                </c:pt>
                <c:pt idx="54">
                  <c:v>14.8</c:v>
                </c:pt>
                <c:pt idx="55">
                  <c:v>4.81</c:v>
                </c:pt>
                <c:pt idx="56">
                  <c:v>5.77</c:v>
                </c:pt>
                <c:pt idx="57">
                  <c:v>3.95</c:v>
                </c:pt>
                <c:pt idx="58">
                  <c:v>6.86</c:v>
                </c:pt>
                <c:pt idx="59">
                  <c:v>9.22</c:v>
                </c:pt>
                <c:pt idx="60">
                  <c:v>13.15</c:v>
                </c:pt>
                <c:pt idx="61">
                  <c:v>14.44</c:v>
                </c:pt>
                <c:pt idx="62">
                  <c:v>6.73</c:v>
                </c:pt>
                <c:pt idx="63">
                  <c:v>9.5</c:v>
                </c:pt>
                <c:pt idx="64">
                  <c:v>8.05</c:v>
                </c:pt>
                <c:pt idx="65">
                  <c:v>4.67</c:v>
                </c:pt>
                <c:pt idx="66">
                  <c:v>10.24</c:v>
                </c:pt>
                <c:pt idx="67">
                  <c:v>8.1</c:v>
                </c:pt>
                <c:pt idx="68">
                  <c:v>13.09</c:v>
                </c:pt>
                <c:pt idx="69">
                  <c:v>8.79</c:v>
                </c:pt>
                <c:pt idx="70">
                  <c:v>6.72</c:v>
                </c:pt>
                <c:pt idx="71">
                  <c:v>9.88</c:v>
                </c:pt>
                <c:pt idx="72">
                  <c:v>5.52</c:v>
                </c:pt>
                <c:pt idx="73">
                  <c:v>7.54</c:v>
                </c:pt>
                <c:pt idx="74">
                  <c:v>6.78</c:v>
                </c:pt>
                <c:pt idx="75">
                  <c:v>8.94</c:v>
                </c:pt>
                <c:pt idx="76">
                  <c:v>11.97</c:v>
                </c:pt>
                <c:pt idx="77">
                  <c:v>10.27</c:v>
                </c:pt>
                <c:pt idx="78">
                  <c:v>12.34</c:v>
                </c:pt>
                <c:pt idx="79">
                  <c:v>9.1</c:v>
                </c:pt>
                <c:pt idx="80">
                  <c:v>5.29</c:v>
                </c:pt>
                <c:pt idx="81">
                  <c:v>7.22</c:v>
                </c:pt>
                <c:pt idx="82">
                  <c:v>6.72</c:v>
                </c:pt>
                <c:pt idx="83">
                  <c:v>7.51</c:v>
                </c:pt>
                <c:pt idx="84">
                  <c:v>9.62</c:v>
                </c:pt>
                <c:pt idx="85">
                  <c:v>6.53</c:v>
                </c:pt>
                <c:pt idx="86">
                  <c:v>12.86</c:v>
                </c:pt>
                <c:pt idx="87">
                  <c:v>8.44</c:v>
                </c:pt>
                <c:pt idx="88">
                  <c:v>5.5</c:v>
                </c:pt>
                <c:pt idx="89">
                  <c:v>5.7</c:v>
                </c:pt>
                <c:pt idx="90">
                  <c:v>8.81</c:v>
                </c:pt>
                <c:pt idx="91">
                  <c:v>8.2</c:v>
                </c:pt>
                <c:pt idx="92">
                  <c:v>8.16</c:v>
                </c:pt>
                <c:pt idx="93">
                  <c:v>6.21</c:v>
                </c:pt>
                <c:pt idx="94">
                  <c:v>10.59</c:v>
                </c:pt>
                <c:pt idx="95">
                  <c:v>6.65</c:v>
                </c:pt>
                <c:pt idx="96">
                  <c:v>11.34</c:v>
                </c:pt>
                <c:pt idx="97">
                  <c:v>4.21</c:v>
                </c:pt>
                <c:pt idx="98">
                  <c:v>3.57</c:v>
                </c:pt>
                <c:pt idx="99">
                  <c:v>6.19</c:v>
                </c:pt>
                <c:pt idx="100">
                  <c:v>9.42</c:v>
                </c:pt>
                <c:pt idx="101">
                  <c:v>7.67</c:v>
                </c:pt>
                <c:pt idx="102">
                  <c:v>10.63</c:v>
                </c:pt>
                <c:pt idx="103">
                  <c:v>13.44</c:v>
                </c:pt>
                <c:pt idx="104">
                  <c:v>12.33</c:v>
                </c:pt>
                <c:pt idx="105">
                  <c:v>16.47</c:v>
                </c:pt>
                <c:pt idx="106">
                  <c:v>18.66</c:v>
                </c:pt>
                <c:pt idx="107">
                  <c:v>14.09</c:v>
                </c:pt>
                <c:pt idx="108">
                  <c:v>12.27</c:v>
                </c:pt>
                <c:pt idx="109">
                  <c:v>15.55</c:v>
                </c:pt>
                <c:pt idx="110">
                  <c:v>13</c:v>
                </c:pt>
                <c:pt idx="111">
                  <c:v>10.16</c:v>
                </c:pt>
                <c:pt idx="112">
                  <c:v>16.21</c:v>
                </c:pt>
                <c:pt idx="113">
                  <c:v>17.09</c:v>
                </c:pt>
                <c:pt idx="114">
                  <c:v>10.45</c:v>
                </c:pt>
                <c:pt idx="115">
                  <c:v>15.76</c:v>
                </c:pt>
                <c:pt idx="116">
                  <c:v>12.04</c:v>
                </c:pt>
                <c:pt idx="117">
                  <c:v>10.3</c:v>
                </c:pt>
                <c:pt idx="118">
                  <c:v>15.37</c:v>
                </c:pt>
                <c:pt idx="119">
                  <c:v>13.61</c:v>
                </c:pt>
                <c:pt idx="120">
                  <c:v>14.37</c:v>
                </c:pt>
                <c:pt idx="121">
                  <c:v>14.27</c:v>
                </c:pt>
                <c:pt idx="122">
                  <c:v>17.93</c:v>
                </c:pt>
                <c:pt idx="123">
                  <c:v>25.41</c:v>
                </c:pt>
                <c:pt idx="124">
                  <c:v>17.58</c:v>
                </c:pt>
                <c:pt idx="125">
                  <c:v>14.81</c:v>
                </c:pt>
                <c:pt idx="126">
                  <c:v>27.26</c:v>
                </c:pt>
                <c:pt idx="127">
                  <c:v>17.19</c:v>
                </c:pt>
                <c:pt idx="128">
                  <c:v>15.39</c:v>
                </c:pt>
                <c:pt idx="129">
                  <c:v>18.34</c:v>
                </c:pt>
                <c:pt idx="130">
                  <c:v>12.6</c:v>
                </c:pt>
                <c:pt idx="131">
                  <c:v>12.26</c:v>
                </c:pt>
                <c:pt idx="132">
                  <c:v>11.12</c:v>
                </c:pt>
                <c:pt idx="133">
                  <c:v>15.03</c:v>
                </c:pt>
                <c:pt idx="134">
                  <c:v>17.31</c:v>
                </c:pt>
                <c:pt idx="135">
                  <c:v>16.96</c:v>
                </c:pt>
                <c:pt idx="136">
                  <c:v>16.9</c:v>
                </c:pt>
                <c:pt idx="137">
                  <c:v>14.59</c:v>
                </c:pt>
                <c:pt idx="138">
                  <c:v>21.32</c:v>
                </c:pt>
                <c:pt idx="139">
                  <c:v>18.46</c:v>
                </c:pt>
                <c:pt idx="140">
                  <c:v>24.16</c:v>
                </c:pt>
                <c:pt idx="141">
                  <c:v>34.41</c:v>
                </c:pt>
                <c:pt idx="142">
                  <c:v>26.82</c:v>
                </c:pt>
                <c:pt idx="143">
                  <c:v>26.42</c:v>
                </c:pt>
                <c:pt idx="144">
                  <c:v>29.29</c:v>
                </c:pt>
                <c:pt idx="145">
                  <c:v>27.8</c:v>
                </c:pt>
                <c:pt idx="146">
                  <c:v>16.65</c:v>
                </c:pt>
                <c:pt idx="147">
                  <c:v>29.53</c:v>
                </c:pt>
                <c:pt idx="148">
                  <c:v>28.32</c:v>
                </c:pt>
                <c:pt idx="149">
                  <c:v>21.45</c:v>
                </c:pt>
                <c:pt idx="150">
                  <c:v>14.1</c:v>
                </c:pt>
                <c:pt idx="151">
                  <c:v>13.28</c:v>
                </c:pt>
                <c:pt idx="152">
                  <c:v>12.12</c:v>
                </c:pt>
                <c:pt idx="153">
                  <c:v>15.79</c:v>
                </c:pt>
                <c:pt idx="154">
                  <c:v>15.12</c:v>
                </c:pt>
                <c:pt idx="155">
                  <c:v>15.02</c:v>
                </c:pt>
                <c:pt idx="156">
                  <c:v>16.14</c:v>
                </c:pt>
                <c:pt idx="157">
                  <c:v>4.59</c:v>
                </c:pt>
                <c:pt idx="158">
                  <c:v>6.43</c:v>
                </c:pt>
                <c:pt idx="159">
                  <c:v>7.39</c:v>
                </c:pt>
                <c:pt idx="160">
                  <c:v>5.5</c:v>
                </c:pt>
                <c:pt idx="161">
                  <c:v>11.64</c:v>
                </c:pt>
                <c:pt idx="162">
                  <c:v>9.81</c:v>
                </c:pt>
                <c:pt idx="163">
                  <c:v>12.14</c:v>
                </c:pt>
                <c:pt idx="164">
                  <c:v>11.1</c:v>
                </c:pt>
                <c:pt idx="165">
                  <c:v>11.32</c:v>
                </c:pt>
                <c:pt idx="166">
                  <c:v>14.43</c:v>
                </c:pt>
                <c:pt idx="167">
                  <c:v>12.03</c:v>
                </c:pt>
                <c:pt idx="168">
                  <c:v>14.69</c:v>
                </c:pt>
                <c:pt idx="169">
                  <c:v>9.04</c:v>
                </c:pt>
                <c:pt idx="170">
                  <c:v>9.64</c:v>
                </c:pt>
                <c:pt idx="171">
                  <c:v>5.33</c:v>
                </c:pt>
                <c:pt idx="172">
                  <c:v>10.11</c:v>
                </c:pt>
                <c:pt idx="173">
                  <c:v>6.29</c:v>
                </c:pt>
                <c:pt idx="174">
                  <c:v>6.92</c:v>
                </c:pt>
                <c:pt idx="175">
                  <c:v>5.04</c:v>
                </c:pt>
                <c:pt idx="176">
                  <c:v>7.56</c:v>
                </c:pt>
                <c:pt idx="177">
                  <c:v>9.45</c:v>
                </c:pt>
                <c:pt idx="178">
                  <c:v>4.82</c:v>
                </c:pt>
                <c:pt idx="179">
                  <c:v>5.68</c:v>
                </c:pt>
                <c:pt idx="180">
                  <c:v>13.98</c:v>
                </c:pt>
                <c:pt idx="181">
                  <c:v>13.15</c:v>
                </c:pt>
                <c:pt idx="182">
                  <c:v>6.68</c:v>
                </c:pt>
                <c:pt idx="183">
                  <c:v>4.56</c:v>
                </c:pt>
                <c:pt idx="184">
                  <c:v>5.39</c:v>
                </c:pt>
                <c:pt idx="185">
                  <c:v>5.1</c:v>
                </c:pt>
                <c:pt idx="186">
                  <c:v>4.69</c:v>
                </c:pt>
                <c:pt idx="187">
                  <c:v>2.87</c:v>
                </c:pt>
                <c:pt idx="188">
                  <c:v>5.03</c:v>
                </c:pt>
                <c:pt idx="189">
                  <c:v>4.38</c:v>
                </c:pt>
                <c:pt idx="190">
                  <c:v>4.08</c:v>
                </c:pt>
                <c:pt idx="191">
                  <c:v>8.61</c:v>
                </c:pt>
                <c:pt idx="192">
                  <c:v>6.62</c:v>
                </c:pt>
                <c:pt idx="193">
                  <c:v>4.56</c:v>
                </c:pt>
                <c:pt idx="194">
                  <c:v>4.45</c:v>
                </c:pt>
                <c:pt idx="195">
                  <c:v>7.43</c:v>
                </c:pt>
                <c:pt idx="196">
                  <c:v>3.11</c:v>
                </c:pt>
                <c:pt idx="197">
                  <c:v>3.81</c:v>
                </c:pt>
                <c:pt idx="198">
                  <c:v>10.87</c:v>
                </c:pt>
                <c:pt idx="199">
                  <c:v>10.97</c:v>
                </c:pt>
                <c:pt idx="200">
                  <c:v>18.06</c:v>
                </c:pt>
                <c:pt idx="201">
                  <c:v>14.66</c:v>
                </c:pt>
                <c:pt idx="202">
                  <c:v>23.09</c:v>
                </c:pt>
                <c:pt idx="203">
                  <c:v>17.27</c:v>
                </c:pt>
                <c:pt idx="204">
                  <c:v>23.98</c:v>
                </c:pt>
                <c:pt idx="205">
                  <c:v>16.03</c:v>
                </c:pt>
                <c:pt idx="206">
                  <c:v>9.38</c:v>
                </c:pt>
                <c:pt idx="207">
                  <c:v>29.55</c:v>
                </c:pt>
                <c:pt idx="208">
                  <c:v>9.47</c:v>
                </c:pt>
                <c:pt idx="209">
                  <c:v>13.51</c:v>
                </c:pt>
                <c:pt idx="210">
                  <c:v>9.69</c:v>
                </c:pt>
                <c:pt idx="211">
                  <c:v>17.92</c:v>
                </c:pt>
                <c:pt idx="212">
                  <c:v>10.5</c:v>
                </c:pt>
                <c:pt idx="213">
                  <c:v>9.71</c:v>
                </c:pt>
                <c:pt idx="214">
                  <c:v>21.46</c:v>
                </c:pt>
                <c:pt idx="215">
                  <c:v>9.93</c:v>
                </c:pt>
                <c:pt idx="216">
                  <c:v>7.6</c:v>
                </c:pt>
                <c:pt idx="217">
                  <c:v>4.14</c:v>
                </c:pt>
                <c:pt idx="218">
                  <c:v>3.13</c:v>
                </c:pt>
                <c:pt idx="219">
                  <c:v>6.36</c:v>
                </c:pt>
                <c:pt idx="220">
                  <c:v>3.92</c:v>
                </c:pt>
                <c:pt idx="221">
                  <c:v>3.76</c:v>
                </c:pt>
                <c:pt idx="222">
                  <c:v>11.65</c:v>
                </c:pt>
                <c:pt idx="223">
                  <c:v>5.25</c:v>
                </c:pt>
                <c:pt idx="224">
                  <c:v>2.47</c:v>
                </c:pt>
                <c:pt idx="225">
                  <c:v>3.95</c:v>
                </c:pt>
                <c:pt idx="226">
                  <c:v>8.05</c:v>
                </c:pt>
                <c:pt idx="227">
                  <c:v>10.88</c:v>
                </c:pt>
                <c:pt idx="228">
                  <c:v>9.54</c:v>
                </c:pt>
                <c:pt idx="229">
                  <c:v>4.73</c:v>
                </c:pt>
                <c:pt idx="230">
                  <c:v>6.36</c:v>
                </c:pt>
                <c:pt idx="231">
                  <c:v>7.37</c:v>
                </c:pt>
                <c:pt idx="232">
                  <c:v>11.38</c:v>
                </c:pt>
                <c:pt idx="233">
                  <c:v>12.4</c:v>
                </c:pt>
                <c:pt idx="234">
                  <c:v>11.22</c:v>
                </c:pt>
                <c:pt idx="235">
                  <c:v>5.19</c:v>
                </c:pt>
                <c:pt idx="236">
                  <c:v>12.5</c:v>
                </c:pt>
                <c:pt idx="237">
                  <c:v>18.46</c:v>
                </c:pt>
                <c:pt idx="238">
                  <c:v>9.16</c:v>
                </c:pt>
                <c:pt idx="239">
                  <c:v>10.15</c:v>
                </c:pt>
                <c:pt idx="240">
                  <c:v>9.52</c:v>
                </c:pt>
                <c:pt idx="241">
                  <c:v>6.56</c:v>
                </c:pt>
                <c:pt idx="242">
                  <c:v>5.9</c:v>
                </c:pt>
                <c:pt idx="243">
                  <c:v>3.59</c:v>
                </c:pt>
                <c:pt idx="244">
                  <c:v>3.53</c:v>
                </c:pt>
                <c:pt idx="245">
                  <c:v>3.54</c:v>
                </c:pt>
                <c:pt idx="246">
                  <c:v>6.57</c:v>
                </c:pt>
                <c:pt idx="247">
                  <c:v>9.25</c:v>
                </c:pt>
                <c:pt idx="248">
                  <c:v>3.11</c:v>
                </c:pt>
                <c:pt idx="249">
                  <c:v>7.79</c:v>
                </c:pt>
                <c:pt idx="250">
                  <c:v>6.9</c:v>
                </c:pt>
                <c:pt idx="251">
                  <c:v>9.59</c:v>
                </c:pt>
                <c:pt idx="252">
                  <c:v>7.26</c:v>
                </c:pt>
                <c:pt idx="253">
                  <c:v>5.91</c:v>
                </c:pt>
                <c:pt idx="254">
                  <c:v>11.25</c:v>
                </c:pt>
                <c:pt idx="255">
                  <c:v>8.1</c:v>
                </c:pt>
                <c:pt idx="256">
                  <c:v>10.45</c:v>
                </c:pt>
                <c:pt idx="257">
                  <c:v>14.79</c:v>
                </c:pt>
                <c:pt idx="258">
                  <c:v>3.16</c:v>
                </c:pt>
                <c:pt idx="259">
                  <c:v>13.65</c:v>
                </c:pt>
                <c:pt idx="260">
                  <c:v>13</c:v>
                </c:pt>
                <c:pt idx="261">
                  <c:v>6.59</c:v>
                </c:pt>
                <c:pt idx="262">
                  <c:v>7.73</c:v>
                </c:pt>
                <c:pt idx="263">
                  <c:v>6.58</c:v>
                </c:pt>
                <c:pt idx="264">
                  <c:v>3.53</c:v>
                </c:pt>
                <c:pt idx="265">
                  <c:v>2.98</c:v>
                </c:pt>
                <c:pt idx="266">
                  <c:v>6.05</c:v>
                </c:pt>
                <c:pt idx="267">
                  <c:v>4.16</c:v>
                </c:pt>
                <c:pt idx="268">
                  <c:v>7.19</c:v>
                </c:pt>
                <c:pt idx="269">
                  <c:v>4.85</c:v>
                </c:pt>
                <c:pt idx="270">
                  <c:v>3.76</c:v>
                </c:pt>
                <c:pt idx="271">
                  <c:v>4.59</c:v>
                </c:pt>
                <c:pt idx="272">
                  <c:v>3.01</c:v>
                </c:pt>
                <c:pt idx="273">
                  <c:v>7.85</c:v>
                </c:pt>
                <c:pt idx="274">
                  <c:v>8.23</c:v>
                </c:pt>
                <c:pt idx="275">
                  <c:v>12.93</c:v>
                </c:pt>
                <c:pt idx="276">
                  <c:v>7.14</c:v>
                </c:pt>
                <c:pt idx="277">
                  <c:v>7.6</c:v>
                </c:pt>
                <c:pt idx="278">
                  <c:v>9.51</c:v>
                </c:pt>
                <c:pt idx="279">
                  <c:v>3.33</c:v>
                </c:pt>
                <c:pt idx="280">
                  <c:v>3.56</c:v>
                </c:pt>
                <c:pt idx="281">
                  <c:v>4.7</c:v>
                </c:pt>
                <c:pt idx="282">
                  <c:v>8.58</c:v>
                </c:pt>
                <c:pt idx="283">
                  <c:v>10.4</c:v>
                </c:pt>
                <c:pt idx="284">
                  <c:v>6.27</c:v>
                </c:pt>
                <c:pt idx="285">
                  <c:v>7.39</c:v>
                </c:pt>
                <c:pt idx="286">
                  <c:v>15.84</c:v>
                </c:pt>
                <c:pt idx="287">
                  <c:v>4.97</c:v>
                </c:pt>
                <c:pt idx="288">
                  <c:v>4.74</c:v>
                </c:pt>
                <c:pt idx="289">
                  <c:v>6.07</c:v>
                </c:pt>
                <c:pt idx="290">
                  <c:v>9.5</c:v>
                </c:pt>
                <c:pt idx="291">
                  <c:v>8.67</c:v>
                </c:pt>
                <c:pt idx="292">
                  <c:v>4.86</c:v>
                </c:pt>
                <c:pt idx="293">
                  <c:v>6.93</c:v>
                </c:pt>
                <c:pt idx="294">
                  <c:v>8.93</c:v>
                </c:pt>
                <c:pt idx="295">
                  <c:v>6.47</c:v>
                </c:pt>
                <c:pt idx="296">
                  <c:v>7.53</c:v>
                </c:pt>
                <c:pt idx="297">
                  <c:v>4.54</c:v>
                </c:pt>
                <c:pt idx="298">
                  <c:v>9.97</c:v>
                </c:pt>
                <c:pt idx="299">
                  <c:v>12.64</c:v>
                </c:pt>
                <c:pt idx="300">
                  <c:v>5.98</c:v>
                </c:pt>
                <c:pt idx="301">
                  <c:v>11.72</c:v>
                </c:pt>
                <c:pt idx="302">
                  <c:v>7.9</c:v>
                </c:pt>
                <c:pt idx="303">
                  <c:v>9.28</c:v>
                </c:pt>
                <c:pt idx="304">
                  <c:v>11.5</c:v>
                </c:pt>
                <c:pt idx="305">
                  <c:v>18.33</c:v>
                </c:pt>
                <c:pt idx="306">
                  <c:v>15.94</c:v>
                </c:pt>
                <c:pt idx="307">
                  <c:v>10.36</c:v>
                </c:pt>
                <c:pt idx="308">
                  <c:v>12.73</c:v>
                </c:pt>
                <c:pt idx="309">
                  <c:v>7.2</c:v>
                </c:pt>
                <c:pt idx="310">
                  <c:v>6.87</c:v>
                </c:pt>
                <c:pt idx="311">
                  <c:v>7.7</c:v>
                </c:pt>
                <c:pt idx="312">
                  <c:v>11.74</c:v>
                </c:pt>
                <c:pt idx="313">
                  <c:v>6.12</c:v>
                </c:pt>
                <c:pt idx="314">
                  <c:v>5.08</c:v>
                </c:pt>
                <c:pt idx="315">
                  <c:v>6.15</c:v>
                </c:pt>
                <c:pt idx="316">
                  <c:v>12.79</c:v>
                </c:pt>
                <c:pt idx="317">
                  <c:v>9.97</c:v>
                </c:pt>
                <c:pt idx="318">
                  <c:v>7.34</c:v>
                </c:pt>
                <c:pt idx="319">
                  <c:v>9.09</c:v>
                </c:pt>
                <c:pt idx="320">
                  <c:v>12.43</c:v>
                </c:pt>
                <c:pt idx="321">
                  <c:v>7.83</c:v>
                </c:pt>
                <c:pt idx="322">
                  <c:v>5.68</c:v>
                </c:pt>
                <c:pt idx="323">
                  <c:v>6.75</c:v>
                </c:pt>
                <c:pt idx="324">
                  <c:v>8.01</c:v>
                </c:pt>
                <c:pt idx="325">
                  <c:v>9.8</c:v>
                </c:pt>
                <c:pt idx="326">
                  <c:v>10.56</c:v>
                </c:pt>
                <c:pt idx="327">
                  <c:v>8.51</c:v>
                </c:pt>
                <c:pt idx="328">
                  <c:v>9.74</c:v>
                </c:pt>
                <c:pt idx="329">
                  <c:v>9.29</c:v>
                </c:pt>
                <c:pt idx="330">
                  <c:v>5.49</c:v>
                </c:pt>
                <c:pt idx="331">
                  <c:v>8.65</c:v>
                </c:pt>
                <c:pt idx="332">
                  <c:v>7.18</c:v>
                </c:pt>
                <c:pt idx="333">
                  <c:v>4.61</c:v>
                </c:pt>
                <c:pt idx="334">
                  <c:v>10.53</c:v>
                </c:pt>
                <c:pt idx="335">
                  <c:v>12.67</c:v>
                </c:pt>
                <c:pt idx="336">
                  <c:v>6.36</c:v>
                </c:pt>
                <c:pt idx="337">
                  <c:v>5.99</c:v>
                </c:pt>
                <c:pt idx="338">
                  <c:v>5.89</c:v>
                </c:pt>
                <c:pt idx="339">
                  <c:v>5.98</c:v>
                </c:pt>
                <c:pt idx="340">
                  <c:v>5.49</c:v>
                </c:pt>
                <c:pt idx="341">
                  <c:v>7.79</c:v>
                </c:pt>
                <c:pt idx="342">
                  <c:v>4.5</c:v>
                </c:pt>
                <c:pt idx="343">
                  <c:v>8.05</c:v>
                </c:pt>
                <c:pt idx="344">
                  <c:v>5.57</c:v>
                </c:pt>
                <c:pt idx="345">
                  <c:v>17.6</c:v>
                </c:pt>
                <c:pt idx="346">
                  <c:v>13.27</c:v>
                </c:pt>
                <c:pt idx="347">
                  <c:v>11.48</c:v>
                </c:pt>
                <c:pt idx="348">
                  <c:v>12.67</c:v>
                </c:pt>
                <c:pt idx="349">
                  <c:v>7.79</c:v>
                </c:pt>
                <c:pt idx="350">
                  <c:v>14.19</c:v>
                </c:pt>
                <c:pt idx="351">
                  <c:v>10.19</c:v>
                </c:pt>
                <c:pt idx="352">
                  <c:v>14.64</c:v>
                </c:pt>
                <c:pt idx="353">
                  <c:v>5.29</c:v>
                </c:pt>
                <c:pt idx="354">
                  <c:v>7.12</c:v>
                </c:pt>
                <c:pt idx="355">
                  <c:v>14</c:v>
                </c:pt>
                <c:pt idx="356">
                  <c:v>13.33</c:v>
                </c:pt>
                <c:pt idx="357">
                  <c:v>34.77</c:v>
                </c:pt>
                <c:pt idx="358">
                  <c:v>37.97</c:v>
                </c:pt>
                <c:pt idx="359">
                  <c:v>13.44</c:v>
                </c:pt>
                <c:pt idx="360">
                  <c:v>23.24</c:v>
                </c:pt>
                <c:pt idx="361">
                  <c:v>21.24</c:v>
                </c:pt>
                <c:pt idx="362">
                  <c:v>23.69</c:v>
                </c:pt>
                <c:pt idx="363">
                  <c:v>21.78</c:v>
                </c:pt>
                <c:pt idx="364">
                  <c:v>17.21</c:v>
                </c:pt>
                <c:pt idx="365">
                  <c:v>21.08</c:v>
                </c:pt>
                <c:pt idx="366">
                  <c:v>23.6</c:v>
                </c:pt>
                <c:pt idx="367">
                  <c:v>24.56</c:v>
                </c:pt>
                <c:pt idx="368">
                  <c:v>30.63</c:v>
                </c:pt>
                <c:pt idx="369">
                  <c:v>30.81</c:v>
                </c:pt>
                <c:pt idx="370">
                  <c:v>28.28</c:v>
                </c:pt>
                <c:pt idx="371">
                  <c:v>31.99</c:v>
                </c:pt>
                <c:pt idx="372">
                  <c:v>30.62</c:v>
                </c:pt>
                <c:pt idx="373">
                  <c:v>20.85</c:v>
                </c:pt>
                <c:pt idx="374">
                  <c:v>17.11</c:v>
                </c:pt>
                <c:pt idx="375">
                  <c:v>18.76</c:v>
                </c:pt>
                <c:pt idx="376">
                  <c:v>25.68</c:v>
                </c:pt>
                <c:pt idx="377">
                  <c:v>15.17</c:v>
                </c:pt>
                <c:pt idx="378">
                  <c:v>16.35</c:v>
                </c:pt>
                <c:pt idx="379">
                  <c:v>17.12</c:v>
                </c:pt>
                <c:pt idx="380">
                  <c:v>19.37</c:v>
                </c:pt>
                <c:pt idx="381">
                  <c:v>19.92</c:v>
                </c:pt>
                <c:pt idx="382">
                  <c:v>30.59</c:v>
                </c:pt>
                <c:pt idx="383">
                  <c:v>29.97</c:v>
                </c:pt>
                <c:pt idx="384">
                  <c:v>26.77</c:v>
                </c:pt>
                <c:pt idx="385">
                  <c:v>20.32</c:v>
                </c:pt>
                <c:pt idx="386">
                  <c:v>20.31</c:v>
                </c:pt>
                <c:pt idx="387">
                  <c:v>19.77</c:v>
                </c:pt>
                <c:pt idx="388">
                  <c:v>27.38</c:v>
                </c:pt>
                <c:pt idx="389">
                  <c:v>22.98</c:v>
                </c:pt>
                <c:pt idx="390">
                  <c:v>23.34</c:v>
                </c:pt>
                <c:pt idx="391">
                  <c:v>12.13</c:v>
                </c:pt>
                <c:pt idx="392">
                  <c:v>26.4</c:v>
                </c:pt>
                <c:pt idx="393">
                  <c:v>19.78</c:v>
                </c:pt>
                <c:pt idx="394">
                  <c:v>10.11</c:v>
                </c:pt>
                <c:pt idx="395">
                  <c:v>21.22</c:v>
                </c:pt>
                <c:pt idx="396">
                  <c:v>34.37</c:v>
                </c:pt>
                <c:pt idx="397">
                  <c:v>20.08</c:v>
                </c:pt>
                <c:pt idx="398">
                  <c:v>36.98</c:v>
                </c:pt>
                <c:pt idx="399">
                  <c:v>29.05</c:v>
                </c:pt>
                <c:pt idx="400">
                  <c:v>25.79</c:v>
                </c:pt>
                <c:pt idx="401">
                  <c:v>26.64</c:v>
                </c:pt>
                <c:pt idx="402">
                  <c:v>20.62</c:v>
                </c:pt>
                <c:pt idx="403">
                  <c:v>22.74</c:v>
                </c:pt>
                <c:pt idx="404">
                  <c:v>15.02</c:v>
                </c:pt>
                <c:pt idx="405">
                  <c:v>15.7</c:v>
                </c:pt>
                <c:pt idx="406">
                  <c:v>14.1</c:v>
                </c:pt>
                <c:pt idx="407">
                  <c:v>23.29</c:v>
                </c:pt>
                <c:pt idx="408">
                  <c:v>17.16</c:v>
                </c:pt>
                <c:pt idx="409">
                  <c:v>24.39</c:v>
                </c:pt>
                <c:pt idx="410">
                  <c:v>15.69</c:v>
                </c:pt>
                <c:pt idx="411">
                  <c:v>14.52</c:v>
                </c:pt>
                <c:pt idx="412">
                  <c:v>21.52</c:v>
                </c:pt>
                <c:pt idx="413">
                  <c:v>24.08</c:v>
                </c:pt>
                <c:pt idx="414">
                  <c:v>17.64</c:v>
                </c:pt>
                <c:pt idx="415">
                  <c:v>19.69</c:v>
                </c:pt>
                <c:pt idx="416">
                  <c:v>12.03</c:v>
                </c:pt>
                <c:pt idx="417">
                  <c:v>16.22</c:v>
                </c:pt>
                <c:pt idx="418">
                  <c:v>15.17</c:v>
                </c:pt>
                <c:pt idx="419">
                  <c:v>23.27</c:v>
                </c:pt>
                <c:pt idx="420">
                  <c:v>18.05</c:v>
                </c:pt>
                <c:pt idx="421">
                  <c:v>26.45</c:v>
                </c:pt>
                <c:pt idx="422">
                  <c:v>34.02</c:v>
                </c:pt>
                <c:pt idx="423">
                  <c:v>22.88</c:v>
                </c:pt>
                <c:pt idx="424">
                  <c:v>22.11</c:v>
                </c:pt>
                <c:pt idx="425">
                  <c:v>19.52</c:v>
                </c:pt>
                <c:pt idx="426">
                  <c:v>16.59</c:v>
                </c:pt>
                <c:pt idx="427">
                  <c:v>18.85</c:v>
                </c:pt>
                <c:pt idx="428">
                  <c:v>23.79</c:v>
                </c:pt>
                <c:pt idx="429">
                  <c:v>23.98</c:v>
                </c:pt>
                <c:pt idx="430">
                  <c:v>17.79</c:v>
                </c:pt>
                <c:pt idx="431">
                  <c:v>16.44</c:v>
                </c:pt>
                <c:pt idx="432">
                  <c:v>18.13</c:v>
                </c:pt>
                <c:pt idx="433">
                  <c:v>19.31</c:v>
                </c:pt>
                <c:pt idx="434">
                  <c:v>17.44</c:v>
                </c:pt>
                <c:pt idx="435">
                  <c:v>17.73</c:v>
                </c:pt>
                <c:pt idx="436">
                  <c:v>17.27</c:v>
                </c:pt>
                <c:pt idx="437">
                  <c:v>16.74</c:v>
                </c:pt>
                <c:pt idx="438">
                  <c:v>18.71</c:v>
                </c:pt>
                <c:pt idx="439">
                  <c:v>18.13</c:v>
                </c:pt>
                <c:pt idx="440">
                  <c:v>19.01</c:v>
                </c:pt>
                <c:pt idx="441">
                  <c:v>16.94</c:v>
                </c:pt>
                <c:pt idx="442">
                  <c:v>16.23</c:v>
                </c:pt>
                <c:pt idx="443">
                  <c:v>14.7</c:v>
                </c:pt>
                <c:pt idx="444">
                  <c:v>16.42</c:v>
                </c:pt>
                <c:pt idx="445">
                  <c:v>14.65</c:v>
                </c:pt>
                <c:pt idx="446">
                  <c:v>13.99</c:v>
                </c:pt>
                <c:pt idx="447">
                  <c:v>10.29</c:v>
                </c:pt>
                <c:pt idx="448">
                  <c:v>13.22</c:v>
                </c:pt>
                <c:pt idx="449">
                  <c:v>14.13</c:v>
                </c:pt>
                <c:pt idx="450">
                  <c:v>17.15</c:v>
                </c:pt>
                <c:pt idx="451">
                  <c:v>21.32</c:v>
                </c:pt>
                <c:pt idx="452">
                  <c:v>18.13</c:v>
                </c:pt>
                <c:pt idx="453">
                  <c:v>14.76</c:v>
                </c:pt>
                <c:pt idx="454">
                  <c:v>16.29</c:v>
                </c:pt>
                <c:pt idx="455">
                  <c:v>12.87</c:v>
                </c:pt>
                <c:pt idx="456">
                  <c:v>14.36</c:v>
                </c:pt>
                <c:pt idx="457">
                  <c:v>11.66</c:v>
                </c:pt>
                <c:pt idx="458">
                  <c:v>18.14</c:v>
                </c:pt>
                <c:pt idx="459">
                  <c:v>24.1</c:v>
                </c:pt>
                <c:pt idx="460">
                  <c:v>18.68</c:v>
                </c:pt>
                <c:pt idx="461">
                  <c:v>24.91</c:v>
                </c:pt>
                <c:pt idx="462">
                  <c:v>18.03</c:v>
                </c:pt>
                <c:pt idx="463">
                  <c:v>13.11</c:v>
                </c:pt>
                <c:pt idx="464">
                  <c:v>10.74</c:v>
                </c:pt>
                <c:pt idx="465">
                  <c:v>7.74</c:v>
                </c:pt>
                <c:pt idx="466">
                  <c:v>7.01</c:v>
                </c:pt>
                <c:pt idx="467">
                  <c:v>10.42</c:v>
                </c:pt>
                <c:pt idx="468">
                  <c:v>13.34</c:v>
                </c:pt>
                <c:pt idx="469">
                  <c:v>10.58</c:v>
                </c:pt>
                <c:pt idx="470">
                  <c:v>14.98</c:v>
                </c:pt>
                <c:pt idx="471">
                  <c:v>11.45</c:v>
                </c:pt>
                <c:pt idx="472">
                  <c:v>18.06</c:v>
                </c:pt>
                <c:pt idx="473">
                  <c:v>23.97</c:v>
                </c:pt>
                <c:pt idx="474">
                  <c:v>29.68</c:v>
                </c:pt>
                <c:pt idx="475">
                  <c:v>18.07</c:v>
                </c:pt>
                <c:pt idx="476">
                  <c:v>13.35</c:v>
                </c:pt>
                <c:pt idx="477">
                  <c:v>12.01</c:v>
                </c:pt>
                <c:pt idx="478">
                  <c:v>13.59</c:v>
                </c:pt>
                <c:pt idx="479">
                  <c:v>17.6</c:v>
                </c:pt>
                <c:pt idx="480">
                  <c:v>21.14</c:v>
                </c:pt>
                <c:pt idx="481">
                  <c:v>14.1</c:v>
                </c:pt>
                <c:pt idx="482">
                  <c:v>12.92</c:v>
                </c:pt>
                <c:pt idx="483">
                  <c:v>15.1</c:v>
                </c:pt>
                <c:pt idx="484">
                  <c:v>14.33</c:v>
                </c:pt>
                <c:pt idx="485">
                  <c:v>9.67</c:v>
                </c:pt>
                <c:pt idx="486">
                  <c:v>9.08</c:v>
                </c:pt>
                <c:pt idx="487">
                  <c:v>5.64</c:v>
                </c:pt>
                <c:pt idx="488">
                  <c:v>6.48</c:v>
                </c:pt>
                <c:pt idx="489">
                  <c:v>7.88</c:v>
                </c:pt>
              </c:numCache>
            </c:numRef>
          </c:xVal>
          <c:yVal>
            <c:numRef>
              <c:f>Data!$N$1:$N$491</c:f>
              <c:numCache>
                <c:formatCode>0.00</c:formatCode>
                <c:ptCount val="491"/>
                <c:pt idx="1">
                  <c:v>24</c:v>
                </c:pt>
                <c:pt idx="2">
                  <c:v>21.6</c:v>
                </c:pt>
                <c:pt idx="3">
                  <c:v>34.7</c:v>
                </c:pt>
                <c:pt idx="4">
                  <c:v>33.4</c:v>
                </c:pt>
                <c:pt idx="5">
                  <c:v>36.2</c:v>
                </c:pt>
                <c:pt idx="6">
                  <c:v>28.7</c:v>
                </c:pt>
                <c:pt idx="7">
                  <c:v>22.9</c:v>
                </c:pt>
                <c:pt idx="8">
                  <c:v>27.1</c:v>
                </c:pt>
                <c:pt idx="9">
                  <c:v>16.5</c:v>
                </c:pt>
                <c:pt idx="10">
                  <c:v>18.9</c:v>
                </c:pt>
                <c:pt idx="11">
                  <c:v>15</c:v>
                </c:pt>
                <c:pt idx="12">
                  <c:v>18.9</c:v>
                </c:pt>
                <c:pt idx="13">
                  <c:v>21.7</c:v>
                </c:pt>
                <c:pt idx="14">
                  <c:v>20.4</c:v>
                </c:pt>
                <c:pt idx="15">
                  <c:v>18.2</c:v>
                </c:pt>
                <c:pt idx="16">
                  <c:v>19.9</c:v>
                </c:pt>
                <c:pt idx="17">
                  <c:v>23.1</c:v>
                </c:pt>
                <c:pt idx="18">
                  <c:v>17.5</c:v>
                </c:pt>
                <c:pt idx="19">
                  <c:v>20.2</c:v>
                </c:pt>
                <c:pt idx="20">
                  <c:v>18.2</c:v>
                </c:pt>
                <c:pt idx="21">
                  <c:v>13.6</c:v>
                </c:pt>
                <c:pt idx="22">
                  <c:v>19.6</c:v>
                </c:pt>
                <c:pt idx="23">
                  <c:v>15.2</c:v>
                </c:pt>
                <c:pt idx="24">
                  <c:v>14.5</c:v>
                </c:pt>
                <c:pt idx="25">
                  <c:v>15.6</c:v>
                </c:pt>
                <c:pt idx="26">
                  <c:v>13.9</c:v>
                </c:pt>
                <c:pt idx="27">
                  <c:v>16.6</c:v>
                </c:pt>
                <c:pt idx="28">
                  <c:v>14.8</c:v>
                </c:pt>
                <c:pt idx="29">
                  <c:v>18.4</c:v>
                </c:pt>
                <c:pt idx="30">
                  <c:v>21</c:v>
                </c:pt>
                <c:pt idx="31">
                  <c:v>12.7</c:v>
                </c:pt>
                <c:pt idx="32">
                  <c:v>14.5</c:v>
                </c:pt>
                <c:pt idx="33">
                  <c:v>13.2</c:v>
                </c:pt>
                <c:pt idx="34">
                  <c:v>13.1</c:v>
                </c:pt>
                <c:pt idx="35">
                  <c:v>13.5</c:v>
                </c:pt>
                <c:pt idx="36">
                  <c:v>18.9</c:v>
                </c:pt>
                <c:pt idx="37">
                  <c:v>20</c:v>
                </c:pt>
                <c:pt idx="38">
                  <c:v>21</c:v>
                </c:pt>
                <c:pt idx="39">
                  <c:v>24.7</c:v>
                </c:pt>
                <c:pt idx="40">
                  <c:v>30.8</c:v>
                </c:pt>
                <c:pt idx="41">
                  <c:v>34.9</c:v>
                </c:pt>
                <c:pt idx="42">
                  <c:v>26.6</c:v>
                </c:pt>
                <c:pt idx="43">
                  <c:v>25.3</c:v>
                </c:pt>
                <c:pt idx="44">
                  <c:v>24.7</c:v>
                </c:pt>
                <c:pt idx="45">
                  <c:v>21.2</c:v>
                </c:pt>
                <c:pt idx="46">
                  <c:v>19.3</c:v>
                </c:pt>
                <c:pt idx="47">
                  <c:v>20</c:v>
                </c:pt>
                <c:pt idx="48">
                  <c:v>16.6</c:v>
                </c:pt>
                <c:pt idx="49">
                  <c:v>14.4</c:v>
                </c:pt>
                <c:pt idx="50">
                  <c:v>19.4</c:v>
                </c:pt>
                <c:pt idx="51">
                  <c:v>19.7</c:v>
                </c:pt>
                <c:pt idx="52">
                  <c:v>20.5</c:v>
                </c:pt>
                <c:pt idx="53">
                  <c:v>25</c:v>
                </c:pt>
                <c:pt idx="54">
                  <c:v>23.4</c:v>
                </c:pt>
                <c:pt idx="55">
                  <c:v>18.9</c:v>
                </c:pt>
                <c:pt idx="56">
                  <c:v>35.4</c:v>
                </c:pt>
                <c:pt idx="57">
                  <c:v>24.7</c:v>
                </c:pt>
                <c:pt idx="58">
                  <c:v>31.6</c:v>
                </c:pt>
                <c:pt idx="59">
                  <c:v>23.3</c:v>
                </c:pt>
                <c:pt idx="60">
                  <c:v>19.6</c:v>
                </c:pt>
                <c:pt idx="61">
                  <c:v>18.7</c:v>
                </c:pt>
                <c:pt idx="62">
                  <c:v>16</c:v>
                </c:pt>
                <c:pt idx="63">
                  <c:v>22.2</c:v>
                </c:pt>
                <c:pt idx="64">
                  <c:v>25</c:v>
                </c:pt>
                <c:pt idx="65">
                  <c:v>33</c:v>
                </c:pt>
                <c:pt idx="66">
                  <c:v>23.5</c:v>
                </c:pt>
                <c:pt idx="67">
                  <c:v>19.4</c:v>
                </c:pt>
                <c:pt idx="68">
                  <c:v>22</c:v>
                </c:pt>
                <c:pt idx="69">
                  <c:v>17.4</c:v>
                </c:pt>
                <c:pt idx="70">
                  <c:v>20.9</c:v>
                </c:pt>
                <c:pt idx="71">
                  <c:v>24.2</c:v>
                </c:pt>
                <c:pt idx="72">
                  <c:v>21.7</c:v>
                </c:pt>
                <c:pt idx="73">
                  <c:v>22.8</c:v>
                </c:pt>
                <c:pt idx="74">
                  <c:v>23.4</c:v>
                </c:pt>
                <c:pt idx="75">
                  <c:v>24.1</c:v>
                </c:pt>
                <c:pt idx="76">
                  <c:v>21.4</c:v>
                </c:pt>
                <c:pt idx="77">
                  <c:v>20</c:v>
                </c:pt>
                <c:pt idx="78">
                  <c:v>20.8</c:v>
                </c:pt>
                <c:pt idx="79">
                  <c:v>21.2</c:v>
                </c:pt>
                <c:pt idx="80">
                  <c:v>20.3</c:v>
                </c:pt>
                <c:pt idx="81">
                  <c:v>28</c:v>
                </c:pt>
                <c:pt idx="82">
                  <c:v>23.9</c:v>
                </c:pt>
                <c:pt idx="83">
                  <c:v>24.8</c:v>
                </c:pt>
                <c:pt idx="84">
                  <c:v>22.9</c:v>
                </c:pt>
                <c:pt idx="85">
                  <c:v>23.9</c:v>
                </c:pt>
                <c:pt idx="86">
                  <c:v>26.6</c:v>
                </c:pt>
                <c:pt idx="87">
                  <c:v>22.5</c:v>
                </c:pt>
                <c:pt idx="88">
                  <c:v>22.2</c:v>
                </c:pt>
                <c:pt idx="89">
                  <c:v>23.6</c:v>
                </c:pt>
                <c:pt idx="90">
                  <c:v>28.7</c:v>
                </c:pt>
                <c:pt idx="91">
                  <c:v>22.6</c:v>
                </c:pt>
                <c:pt idx="92">
                  <c:v>22</c:v>
                </c:pt>
                <c:pt idx="93">
                  <c:v>22.9</c:v>
                </c:pt>
                <c:pt idx="94">
                  <c:v>25</c:v>
                </c:pt>
                <c:pt idx="95">
                  <c:v>20.6</c:v>
                </c:pt>
                <c:pt idx="96">
                  <c:v>28.4</c:v>
                </c:pt>
                <c:pt idx="97">
                  <c:v>21.4</c:v>
                </c:pt>
                <c:pt idx="98">
                  <c:v>38.7</c:v>
                </c:pt>
                <c:pt idx="99">
                  <c:v>43.8</c:v>
                </c:pt>
                <c:pt idx="100">
                  <c:v>33.2</c:v>
                </c:pt>
                <c:pt idx="101">
                  <c:v>27.5</c:v>
                </c:pt>
                <c:pt idx="102">
                  <c:v>26.5</c:v>
                </c:pt>
                <c:pt idx="103">
                  <c:v>18.6</c:v>
                </c:pt>
                <c:pt idx="104">
                  <c:v>19.3</c:v>
                </c:pt>
                <c:pt idx="105">
                  <c:v>20.1</c:v>
                </c:pt>
                <c:pt idx="106">
                  <c:v>19.5</c:v>
                </c:pt>
                <c:pt idx="107">
                  <c:v>19.5</c:v>
                </c:pt>
                <c:pt idx="108">
                  <c:v>20.4</c:v>
                </c:pt>
                <c:pt idx="109">
                  <c:v>19.8</c:v>
                </c:pt>
                <c:pt idx="110">
                  <c:v>19.4</c:v>
                </c:pt>
                <c:pt idx="111">
                  <c:v>21.7</c:v>
                </c:pt>
                <c:pt idx="112">
                  <c:v>22.8</c:v>
                </c:pt>
                <c:pt idx="113">
                  <c:v>18.8</c:v>
                </c:pt>
                <c:pt idx="114">
                  <c:v>18.7</c:v>
                </c:pt>
                <c:pt idx="115">
                  <c:v>18.5</c:v>
                </c:pt>
                <c:pt idx="116">
                  <c:v>18.3</c:v>
                </c:pt>
                <c:pt idx="117">
                  <c:v>21.2</c:v>
                </c:pt>
                <c:pt idx="118">
                  <c:v>19.2</c:v>
                </c:pt>
                <c:pt idx="119">
                  <c:v>20.4</c:v>
                </c:pt>
                <c:pt idx="120">
                  <c:v>19.3</c:v>
                </c:pt>
                <c:pt idx="121">
                  <c:v>22</c:v>
                </c:pt>
                <c:pt idx="122">
                  <c:v>20.3</c:v>
                </c:pt>
                <c:pt idx="123">
                  <c:v>20.5</c:v>
                </c:pt>
                <c:pt idx="124">
                  <c:v>17.3</c:v>
                </c:pt>
                <c:pt idx="125">
                  <c:v>18.8</c:v>
                </c:pt>
                <c:pt idx="126">
                  <c:v>21.4</c:v>
                </c:pt>
                <c:pt idx="127">
                  <c:v>15.7</c:v>
                </c:pt>
                <c:pt idx="128">
                  <c:v>16.2</c:v>
                </c:pt>
                <c:pt idx="129">
                  <c:v>18</c:v>
                </c:pt>
                <c:pt idx="130">
                  <c:v>14.3</c:v>
                </c:pt>
                <c:pt idx="131">
                  <c:v>19.2</c:v>
                </c:pt>
                <c:pt idx="132">
                  <c:v>19.6</c:v>
                </c:pt>
                <c:pt idx="133">
                  <c:v>23</c:v>
                </c:pt>
                <c:pt idx="134">
                  <c:v>18.4</c:v>
                </c:pt>
                <c:pt idx="135">
                  <c:v>15.6</c:v>
                </c:pt>
                <c:pt idx="136">
                  <c:v>18.1</c:v>
                </c:pt>
                <c:pt idx="137">
                  <c:v>17.4</c:v>
                </c:pt>
                <c:pt idx="138">
                  <c:v>17.1</c:v>
                </c:pt>
                <c:pt idx="139">
                  <c:v>13.3</c:v>
                </c:pt>
                <c:pt idx="140">
                  <c:v>17.8</c:v>
                </c:pt>
                <c:pt idx="141">
                  <c:v>14</c:v>
                </c:pt>
                <c:pt idx="142">
                  <c:v>14.4</c:v>
                </c:pt>
                <c:pt idx="143">
                  <c:v>13.4</c:v>
                </c:pt>
                <c:pt idx="144">
                  <c:v>15.6</c:v>
                </c:pt>
                <c:pt idx="145">
                  <c:v>11.8</c:v>
                </c:pt>
                <c:pt idx="146">
                  <c:v>13.8</c:v>
                </c:pt>
                <c:pt idx="147">
                  <c:v>15.6</c:v>
                </c:pt>
                <c:pt idx="148">
                  <c:v>14.6</c:v>
                </c:pt>
                <c:pt idx="149">
                  <c:v>17.8</c:v>
                </c:pt>
                <c:pt idx="150">
                  <c:v>15.4</c:v>
                </c:pt>
                <c:pt idx="151">
                  <c:v>21.5</c:v>
                </c:pt>
                <c:pt idx="152">
                  <c:v>19.6</c:v>
                </c:pt>
                <c:pt idx="153">
                  <c:v>15.3</c:v>
                </c:pt>
                <c:pt idx="154">
                  <c:v>19.4</c:v>
                </c:pt>
                <c:pt idx="155">
                  <c:v>17</c:v>
                </c:pt>
                <c:pt idx="156">
                  <c:v>15.6</c:v>
                </c:pt>
                <c:pt idx="157">
                  <c:v>13.1</c:v>
                </c:pt>
                <c:pt idx="158">
                  <c:v>41.3</c:v>
                </c:pt>
                <c:pt idx="159">
                  <c:v>24.3</c:v>
                </c:pt>
                <c:pt idx="160">
                  <c:v>23.3</c:v>
                </c:pt>
                <c:pt idx="161">
                  <c:v>27</c:v>
                </c:pt>
                <c:pt idx="162">
                  <c:v>22.7</c:v>
                </c:pt>
                <c:pt idx="163">
                  <c:v>25</c:v>
                </c:pt>
                <c:pt idx="164">
                  <c:v>23.8</c:v>
                </c:pt>
                <c:pt idx="165">
                  <c:v>23.8</c:v>
                </c:pt>
                <c:pt idx="166">
                  <c:v>22.3</c:v>
                </c:pt>
                <c:pt idx="167">
                  <c:v>17.4</c:v>
                </c:pt>
                <c:pt idx="168">
                  <c:v>19.1</c:v>
                </c:pt>
                <c:pt idx="169">
                  <c:v>23.1</c:v>
                </c:pt>
                <c:pt idx="170">
                  <c:v>23.6</c:v>
                </c:pt>
                <c:pt idx="171">
                  <c:v>22.6</c:v>
                </c:pt>
                <c:pt idx="172">
                  <c:v>29.4</c:v>
                </c:pt>
                <c:pt idx="173">
                  <c:v>23.2</c:v>
                </c:pt>
                <c:pt idx="174">
                  <c:v>24.6</c:v>
                </c:pt>
                <c:pt idx="175">
                  <c:v>29.9</c:v>
                </c:pt>
                <c:pt idx="176">
                  <c:v>37.2</c:v>
                </c:pt>
                <c:pt idx="177">
                  <c:v>39.8</c:v>
                </c:pt>
                <c:pt idx="178">
                  <c:v>36.2</c:v>
                </c:pt>
                <c:pt idx="179">
                  <c:v>37.9</c:v>
                </c:pt>
                <c:pt idx="180">
                  <c:v>32.5</c:v>
                </c:pt>
                <c:pt idx="181">
                  <c:v>26.4</c:v>
                </c:pt>
                <c:pt idx="182">
                  <c:v>29.6</c:v>
                </c:pt>
                <c:pt idx="183">
                  <c:v>32</c:v>
                </c:pt>
                <c:pt idx="184">
                  <c:v>29.8</c:v>
                </c:pt>
                <c:pt idx="185">
                  <c:v>34.9</c:v>
                </c:pt>
                <c:pt idx="186">
                  <c:v>37</c:v>
                </c:pt>
                <c:pt idx="187">
                  <c:v>30.5</c:v>
                </c:pt>
                <c:pt idx="188">
                  <c:v>36.4</c:v>
                </c:pt>
                <c:pt idx="189">
                  <c:v>31.1</c:v>
                </c:pt>
                <c:pt idx="190">
                  <c:v>29.1</c:v>
                </c:pt>
                <c:pt idx="191">
                  <c:v>33.3</c:v>
                </c:pt>
                <c:pt idx="192">
                  <c:v>30.3</c:v>
                </c:pt>
                <c:pt idx="193">
                  <c:v>34.6</c:v>
                </c:pt>
                <c:pt idx="194">
                  <c:v>34.9</c:v>
                </c:pt>
                <c:pt idx="195">
                  <c:v>32.9</c:v>
                </c:pt>
                <c:pt idx="196">
                  <c:v>24.1</c:v>
                </c:pt>
                <c:pt idx="197">
                  <c:v>42.3</c:v>
                </c:pt>
                <c:pt idx="198">
                  <c:v>48.5</c:v>
                </c:pt>
                <c:pt idx="199">
                  <c:v>22.6</c:v>
                </c:pt>
                <c:pt idx="200">
                  <c:v>24.4</c:v>
                </c:pt>
                <c:pt idx="201">
                  <c:v>22.5</c:v>
                </c:pt>
                <c:pt idx="202">
                  <c:v>24.4</c:v>
                </c:pt>
                <c:pt idx="203">
                  <c:v>20</c:v>
                </c:pt>
                <c:pt idx="204">
                  <c:v>21.7</c:v>
                </c:pt>
                <c:pt idx="205">
                  <c:v>19.3</c:v>
                </c:pt>
                <c:pt idx="206">
                  <c:v>22.4</c:v>
                </c:pt>
                <c:pt idx="207">
                  <c:v>28.1</c:v>
                </c:pt>
                <c:pt idx="208">
                  <c:v>23.7</c:v>
                </c:pt>
                <c:pt idx="209">
                  <c:v>25</c:v>
                </c:pt>
                <c:pt idx="210">
                  <c:v>23.3</c:v>
                </c:pt>
                <c:pt idx="211">
                  <c:v>28.7</c:v>
                </c:pt>
                <c:pt idx="212">
                  <c:v>21.5</c:v>
                </c:pt>
                <c:pt idx="213">
                  <c:v>23</c:v>
                </c:pt>
                <c:pt idx="214">
                  <c:v>26.7</c:v>
                </c:pt>
                <c:pt idx="215">
                  <c:v>21.7</c:v>
                </c:pt>
                <c:pt idx="216">
                  <c:v>27.5</c:v>
                </c:pt>
                <c:pt idx="217">
                  <c:v>30.1</c:v>
                </c:pt>
                <c:pt idx="218">
                  <c:v>44.8</c:v>
                </c:pt>
                <c:pt idx="219">
                  <c:v>37.6</c:v>
                </c:pt>
                <c:pt idx="220">
                  <c:v>31.6</c:v>
                </c:pt>
                <c:pt idx="221">
                  <c:v>46.7</c:v>
                </c:pt>
                <c:pt idx="222">
                  <c:v>31.5</c:v>
                </c:pt>
                <c:pt idx="223">
                  <c:v>24.3</c:v>
                </c:pt>
                <c:pt idx="224">
                  <c:v>31.7</c:v>
                </c:pt>
                <c:pt idx="225">
                  <c:v>41.7</c:v>
                </c:pt>
                <c:pt idx="226">
                  <c:v>48.3</c:v>
                </c:pt>
                <c:pt idx="227">
                  <c:v>29</c:v>
                </c:pt>
                <c:pt idx="228">
                  <c:v>24</c:v>
                </c:pt>
                <c:pt idx="229">
                  <c:v>25.1</c:v>
                </c:pt>
                <c:pt idx="230">
                  <c:v>31.5</c:v>
                </c:pt>
                <c:pt idx="231">
                  <c:v>23.7</c:v>
                </c:pt>
                <c:pt idx="232">
                  <c:v>23.3</c:v>
                </c:pt>
                <c:pt idx="233">
                  <c:v>22</c:v>
                </c:pt>
                <c:pt idx="234">
                  <c:v>20.1</c:v>
                </c:pt>
                <c:pt idx="235">
                  <c:v>22.2</c:v>
                </c:pt>
                <c:pt idx="236">
                  <c:v>23.7</c:v>
                </c:pt>
                <c:pt idx="237">
                  <c:v>17.6</c:v>
                </c:pt>
                <c:pt idx="238">
                  <c:v>18.5</c:v>
                </c:pt>
                <c:pt idx="239">
                  <c:v>24.3</c:v>
                </c:pt>
                <c:pt idx="240">
                  <c:v>20.5</c:v>
                </c:pt>
                <c:pt idx="241">
                  <c:v>24.5</c:v>
                </c:pt>
                <c:pt idx="242">
                  <c:v>26.2</c:v>
                </c:pt>
                <c:pt idx="243">
                  <c:v>24.4</c:v>
                </c:pt>
                <c:pt idx="244">
                  <c:v>24.8</c:v>
                </c:pt>
                <c:pt idx="245">
                  <c:v>29.6</c:v>
                </c:pt>
                <c:pt idx="246">
                  <c:v>42.8</c:v>
                </c:pt>
                <c:pt idx="247">
                  <c:v>21.9</c:v>
                </c:pt>
                <c:pt idx="248">
                  <c:v>20.9</c:v>
                </c:pt>
                <c:pt idx="249">
                  <c:v>44</c:v>
                </c:pt>
                <c:pt idx="250">
                  <c:v>36</c:v>
                </c:pt>
                <c:pt idx="251">
                  <c:v>30.1</c:v>
                </c:pt>
                <c:pt idx="252">
                  <c:v>33.8</c:v>
                </c:pt>
                <c:pt idx="253">
                  <c:v>43.1</c:v>
                </c:pt>
                <c:pt idx="254">
                  <c:v>48.8</c:v>
                </c:pt>
                <c:pt idx="255">
                  <c:v>31</c:v>
                </c:pt>
                <c:pt idx="256">
                  <c:v>36.5</c:v>
                </c:pt>
                <c:pt idx="257">
                  <c:v>22.8</c:v>
                </c:pt>
                <c:pt idx="258">
                  <c:v>30.7</c:v>
                </c:pt>
                <c:pt idx="259">
                  <c:v>43.5</c:v>
                </c:pt>
                <c:pt idx="260">
                  <c:v>20.7</c:v>
                </c:pt>
                <c:pt idx="261">
                  <c:v>21.1</c:v>
                </c:pt>
                <c:pt idx="262">
                  <c:v>25.2</c:v>
                </c:pt>
                <c:pt idx="263">
                  <c:v>24.4</c:v>
                </c:pt>
                <c:pt idx="264">
                  <c:v>35.2</c:v>
                </c:pt>
                <c:pt idx="265">
                  <c:v>32.4</c:v>
                </c:pt>
                <c:pt idx="266">
                  <c:v>32</c:v>
                </c:pt>
                <c:pt idx="267">
                  <c:v>33.2</c:v>
                </c:pt>
                <c:pt idx="268">
                  <c:v>33.1</c:v>
                </c:pt>
                <c:pt idx="269">
                  <c:v>29.1</c:v>
                </c:pt>
                <c:pt idx="270">
                  <c:v>35.1</c:v>
                </c:pt>
                <c:pt idx="271">
                  <c:v>45.4</c:v>
                </c:pt>
                <c:pt idx="272">
                  <c:v>35.4</c:v>
                </c:pt>
                <c:pt idx="273">
                  <c:v>46</c:v>
                </c:pt>
                <c:pt idx="274">
                  <c:v>32.2</c:v>
                </c:pt>
                <c:pt idx="275">
                  <c:v>22</c:v>
                </c:pt>
                <c:pt idx="276">
                  <c:v>20.1</c:v>
                </c:pt>
                <c:pt idx="277">
                  <c:v>23.2</c:v>
                </c:pt>
                <c:pt idx="278">
                  <c:v>22.3</c:v>
                </c:pt>
                <c:pt idx="279">
                  <c:v>24.8</c:v>
                </c:pt>
                <c:pt idx="280">
                  <c:v>28.5</c:v>
                </c:pt>
                <c:pt idx="281">
                  <c:v>37.3</c:v>
                </c:pt>
                <c:pt idx="282">
                  <c:v>27.9</c:v>
                </c:pt>
                <c:pt idx="283">
                  <c:v>23.9</c:v>
                </c:pt>
                <c:pt idx="284">
                  <c:v>21.7</c:v>
                </c:pt>
                <c:pt idx="285">
                  <c:v>28.6</c:v>
                </c:pt>
                <c:pt idx="286">
                  <c:v>27.1</c:v>
                </c:pt>
                <c:pt idx="287">
                  <c:v>20.3</c:v>
                </c:pt>
                <c:pt idx="288">
                  <c:v>22.5</c:v>
                </c:pt>
                <c:pt idx="289">
                  <c:v>29</c:v>
                </c:pt>
                <c:pt idx="290">
                  <c:v>24.8</c:v>
                </c:pt>
                <c:pt idx="291">
                  <c:v>22</c:v>
                </c:pt>
                <c:pt idx="292">
                  <c:v>26.4</c:v>
                </c:pt>
                <c:pt idx="293">
                  <c:v>33.1</c:v>
                </c:pt>
                <c:pt idx="294">
                  <c:v>36.1</c:v>
                </c:pt>
                <c:pt idx="295">
                  <c:v>28.4</c:v>
                </c:pt>
                <c:pt idx="296">
                  <c:v>33.4</c:v>
                </c:pt>
                <c:pt idx="297">
                  <c:v>28.2</c:v>
                </c:pt>
                <c:pt idx="298">
                  <c:v>22.8</c:v>
                </c:pt>
                <c:pt idx="299">
                  <c:v>20.3</c:v>
                </c:pt>
                <c:pt idx="300">
                  <c:v>16.1</c:v>
                </c:pt>
                <c:pt idx="301">
                  <c:v>22.1</c:v>
                </c:pt>
                <c:pt idx="302">
                  <c:v>19.4</c:v>
                </c:pt>
                <c:pt idx="303">
                  <c:v>21.6</c:v>
                </c:pt>
                <c:pt idx="304">
                  <c:v>23.8</c:v>
                </c:pt>
                <c:pt idx="305">
                  <c:v>16.2</c:v>
                </c:pt>
                <c:pt idx="306">
                  <c:v>17.8</c:v>
                </c:pt>
                <c:pt idx="307">
                  <c:v>19.8</c:v>
                </c:pt>
                <c:pt idx="308">
                  <c:v>23.1</c:v>
                </c:pt>
                <c:pt idx="309">
                  <c:v>21</c:v>
                </c:pt>
                <c:pt idx="310">
                  <c:v>23.8</c:v>
                </c:pt>
                <c:pt idx="311">
                  <c:v>23.1</c:v>
                </c:pt>
                <c:pt idx="312">
                  <c:v>20.4</c:v>
                </c:pt>
                <c:pt idx="313">
                  <c:v>18.5</c:v>
                </c:pt>
                <c:pt idx="314">
                  <c:v>25</c:v>
                </c:pt>
                <c:pt idx="315">
                  <c:v>24.6</c:v>
                </c:pt>
                <c:pt idx="316">
                  <c:v>23</c:v>
                </c:pt>
                <c:pt idx="317">
                  <c:v>22.2</c:v>
                </c:pt>
                <c:pt idx="318">
                  <c:v>19.3</c:v>
                </c:pt>
                <c:pt idx="319">
                  <c:v>22.6</c:v>
                </c:pt>
                <c:pt idx="320">
                  <c:v>19.8</c:v>
                </c:pt>
                <c:pt idx="321">
                  <c:v>17.1</c:v>
                </c:pt>
                <c:pt idx="322">
                  <c:v>19.4</c:v>
                </c:pt>
                <c:pt idx="323">
                  <c:v>22.2</c:v>
                </c:pt>
                <c:pt idx="324">
                  <c:v>20.7</c:v>
                </c:pt>
                <c:pt idx="325">
                  <c:v>21.1</c:v>
                </c:pt>
                <c:pt idx="326">
                  <c:v>19.5</c:v>
                </c:pt>
                <c:pt idx="327">
                  <c:v>18.5</c:v>
                </c:pt>
                <c:pt idx="328">
                  <c:v>20.6</c:v>
                </c:pt>
                <c:pt idx="329">
                  <c:v>19</c:v>
                </c:pt>
                <c:pt idx="330">
                  <c:v>18.7</c:v>
                </c:pt>
                <c:pt idx="331">
                  <c:v>32.7</c:v>
                </c:pt>
                <c:pt idx="332">
                  <c:v>16.5</c:v>
                </c:pt>
                <c:pt idx="333">
                  <c:v>23.9</c:v>
                </c:pt>
                <c:pt idx="334">
                  <c:v>31.2</c:v>
                </c:pt>
                <c:pt idx="335">
                  <c:v>17.5</c:v>
                </c:pt>
                <c:pt idx="336">
                  <c:v>17.2</c:v>
                </c:pt>
                <c:pt idx="337">
                  <c:v>23.1</c:v>
                </c:pt>
                <c:pt idx="338">
                  <c:v>24.5</c:v>
                </c:pt>
                <c:pt idx="339">
                  <c:v>26.6</c:v>
                </c:pt>
                <c:pt idx="340">
                  <c:v>22.9</c:v>
                </c:pt>
                <c:pt idx="341">
                  <c:v>24.1</c:v>
                </c:pt>
                <c:pt idx="342">
                  <c:v>18.6</c:v>
                </c:pt>
                <c:pt idx="343">
                  <c:v>30.1</c:v>
                </c:pt>
                <c:pt idx="344">
                  <c:v>18.2</c:v>
                </c:pt>
                <c:pt idx="345">
                  <c:v>20.6</c:v>
                </c:pt>
                <c:pt idx="346">
                  <c:v>17.8</c:v>
                </c:pt>
                <c:pt idx="347">
                  <c:v>21.7</c:v>
                </c:pt>
                <c:pt idx="348">
                  <c:v>22.7</c:v>
                </c:pt>
                <c:pt idx="349">
                  <c:v>22.6</c:v>
                </c:pt>
                <c:pt idx="350">
                  <c:v>25</c:v>
                </c:pt>
                <c:pt idx="351">
                  <c:v>19.9</c:v>
                </c:pt>
                <c:pt idx="352">
                  <c:v>20.8</c:v>
                </c:pt>
                <c:pt idx="353">
                  <c:v>16.8</c:v>
                </c:pt>
                <c:pt idx="354">
                  <c:v>21.9</c:v>
                </c:pt>
                <c:pt idx="355">
                  <c:v>27.5</c:v>
                </c:pt>
                <c:pt idx="356">
                  <c:v>21.9</c:v>
                </c:pt>
                <c:pt idx="357">
                  <c:v>23.1</c:v>
                </c:pt>
                <c:pt idx="358">
                  <c:v>13.8</c:v>
                </c:pt>
                <c:pt idx="359">
                  <c:v>13.8</c:v>
                </c:pt>
                <c:pt idx="360">
                  <c:v>15</c:v>
                </c:pt>
                <c:pt idx="361">
                  <c:v>13.9</c:v>
                </c:pt>
                <c:pt idx="362">
                  <c:v>13.3</c:v>
                </c:pt>
                <c:pt idx="363">
                  <c:v>13.1</c:v>
                </c:pt>
                <c:pt idx="364">
                  <c:v>10.2</c:v>
                </c:pt>
                <c:pt idx="365">
                  <c:v>10.4</c:v>
                </c:pt>
                <c:pt idx="366">
                  <c:v>10.9</c:v>
                </c:pt>
                <c:pt idx="367">
                  <c:v>11.3</c:v>
                </c:pt>
                <c:pt idx="368">
                  <c:v>12.3</c:v>
                </c:pt>
                <c:pt idx="369">
                  <c:v>8.8</c:v>
                </c:pt>
                <c:pt idx="370">
                  <c:v>7.2</c:v>
                </c:pt>
                <c:pt idx="371">
                  <c:v>10.5</c:v>
                </c:pt>
                <c:pt idx="372">
                  <c:v>7.4</c:v>
                </c:pt>
                <c:pt idx="373">
                  <c:v>10.2</c:v>
                </c:pt>
                <c:pt idx="374">
                  <c:v>11.5</c:v>
                </c:pt>
                <c:pt idx="375">
                  <c:v>15.1</c:v>
                </c:pt>
                <c:pt idx="376">
                  <c:v>23.2</c:v>
                </c:pt>
                <c:pt idx="377">
                  <c:v>9.7</c:v>
                </c:pt>
                <c:pt idx="378">
                  <c:v>13.8</c:v>
                </c:pt>
                <c:pt idx="379">
                  <c:v>12.7</c:v>
                </c:pt>
                <c:pt idx="380">
                  <c:v>13.1</c:v>
                </c:pt>
                <c:pt idx="381">
                  <c:v>12.5</c:v>
                </c:pt>
                <c:pt idx="382">
                  <c:v>8.5</c:v>
                </c:pt>
                <c:pt idx="383">
                  <c:v>5</c:v>
                </c:pt>
                <c:pt idx="384">
                  <c:v>6.3</c:v>
                </c:pt>
                <c:pt idx="385">
                  <c:v>5.6</c:v>
                </c:pt>
                <c:pt idx="386">
                  <c:v>7.2</c:v>
                </c:pt>
                <c:pt idx="387">
                  <c:v>12.1</c:v>
                </c:pt>
                <c:pt idx="388">
                  <c:v>8.3</c:v>
                </c:pt>
                <c:pt idx="389">
                  <c:v>8.5</c:v>
                </c:pt>
                <c:pt idx="390">
                  <c:v>5</c:v>
                </c:pt>
                <c:pt idx="391">
                  <c:v>11.9</c:v>
                </c:pt>
                <c:pt idx="392">
                  <c:v>27.9</c:v>
                </c:pt>
                <c:pt idx="393">
                  <c:v>17.2</c:v>
                </c:pt>
                <c:pt idx="394">
                  <c:v>27.5</c:v>
                </c:pt>
                <c:pt idx="395">
                  <c:v>15</c:v>
                </c:pt>
                <c:pt idx="396">
                  <c:v>17.2</c:v>
                </c:pt>
                <c:pt idx="397">
                  <c:v>17.9</c:v>
                </c:pt>
                <c:pt idx="398">
                  <c:v>16.3</c:v>
                </c:pt>
                <c:pt idx="399">
                  <c:v>7</c:v>
                </c:pt>
                <c:pt idx="400">
                  <c:v>7.2</c:v>
                </c:pt>
                <c:pt idx="401">
                  <c:v>7.5</c:v>
                </c:pt>
                <c:pt idx="402">
                  <c:v>10.4</c:v>
                </c:pt>
                <c:pt idx="403">
                  <c:v>8.8</c:v>
                </c:pt>
                <c:pt idx="404">
                  <c:v>8.4</c:v>
                </c:pt>
                <c:pt idx="405">
                  <c:v>16.7</c:v>
                </c:pt>
                <c:pt idx="406">
                  <c:v>14.2</c:v>
                </c:pt>
                <c:pt idx="407">
                  <c:v>20.8</c:v>
                </c:pt>
                <c:pt idx="408">
                  <c:v>13.4</c:v>
                </c:pt>
                <c:pt idx="409">
                  <c:v>11.7</c:v>
                </c:pt>
                <c:pt idx="410">
                  <c:v>8.3</c:v>
                </c:pt>
                <c:pt idx="411">
                  <c:v>10.2</c:v>
                </c:pt>
                <c:pt idx="412">
                  <c:v>10.9</c:v>
                </c:pt>
                <c:pt idx="413">
                  <c:v>11</c:v>
                </c:pt>
                <c:pt idx="414">
                  <c:v>9.5</c:v>
                </c:pt>
                <c:pt idx="415">
                  <c:v>14.5</c:v>
                </c:pt>
                <c:pt idx="416">
                  <c:v>14.1</c:v>
                </c:pt>
                <c:pt idx="417">
                  <c:v>16.1</c:v>
                </c:pt>
                <c:pt idx="418">
                  <c:v>14.3</c:v>
                </c:pt>
                <c:pt idx="419">
                  <c:v>11.7</c:v>
                </c:pt>
                <c:pt idx="420">
                  <c:v>13.4</c:v>
                </c:pt>
                <c:pt idx="421">
                  <c:v>9.6</c:v>
                </c:pt>
                <c:pt idx="422">
                  <c:v>8.7</c:v>
                </c:pt>
                <c:pt idx="423">
                  <c:v>8.4</c:v>
                </c:pt>
                <c:pt idx="424">
                  <c:v>12.8</c:v>
                </c:pt>
                <c:pt idx="425">
                  <c:v>10.5</c:v>
                </c:pt>
                <c:pt idx="426">
                  <c:v>17.1</c:v>
                </c:pt>
                <c:pt idx="427">
                  <c:v>18.4</c:v>
                </c:pt>
                <c:pt idx="428">
                  <c:v>15.4</c:v>
                </c:pt>
                <c:pt idx="429">
                  <c:v>10.8</c:v>
                </c:pt>
                <c:pt idx="430">
                  <c:v>11.8</c:v>
                </c:pt>
                <c:pt idx="431">
                  <c:v>14.9</c:v>
                </c:pt>
                <c:pt idx="432">
                  <c:v>12.6</c:v>
                </c:pt>
                <c:pt idx="433">
                  <c:v>14.1</c:v>
                </c:pt>
                <c:pt idx="434">
                  <c:v>13</c:v>
                </c:pt>
                <c:pt idx="435">
                  <c:v>13.4</c:v>
                </c:pt>
                <c:pt idx="436">
                  <c:v>15.2</c:v>
                </c:pt>
                <c:pt idx="437">
                  <c:v>16.1</c:v>
                </c:pt>
                <c:pt idx="438">
                  <c:v>17.8</c:v>
                </c:pt>
                <c:pt idx="439">
                  <c:v>14.9</c:v>
                </c:pt>
                <c:pt idx="440">
                  <c:v>14.1</c:v>
                </c:pt>
                <c:pt idx="441">
                  <c:v>12.7</c:v>
                </c:pt>
                <c:pt idx="442">
                  <c:v>13.5</c:v>
                </c:pt>
                <c:pt idx="443">
                  <c:v>14.9</c:v>
                </c:pt>
                <c:pt idx="444">
                  <c:v>20</c:v>
                </c:pt>
                <c:pt idx="445">
                  <c:v>16.4</c:v>
                </c:pt>
                <c:pt idx="446">
                  <c:v>17.7</c:v>
                </c:pt>
                <c:pt idx="447">
                  <c:v>19.5</c:v>
                </c:pt>
                <c:pt idx="448">
                  <c:v>20.2</c:v>
                </c:pt>
                <c:pt idx="449">
                  <c:v>21.4</c:v>
                </c:pt>
                <c:pt idx="450">
                  <c:v>19.9</c:v>
                </c:pt>
                <c:pt idx="451">
                  <c:v>19</c:v>
                </c:pt>
                <c:pt idx="452">
                  <c:v>19.1</c:v>
                </c:pt>
                <c:pt idx="453">
                  <c:v>19.1</c:v>
                </c:pt>
                <c:pt idx="454">
                  <c:v>20.1</c:v>
                </c:pt>
                <c:pt idx="455">
                  <c:v>19.9</c:v>
                </c:pt>
                <c:pt idx="456">
                  <c:v>19.6</c:v>
                </c:pt>
                <c:pt idx="457">
                  <c:v>23.2</c:v>
                </c:pt>
                <c:pt idx="458">
                  <c:v>29.8</c:v>
                </c:pt>
                <c:pt idx="459">
                  <c:v>13.8</c:v>
                </c:pt>
                <c:pt idx="460">
                  <c:v>13.3</c:v>
                </c:pt>
                <c:pt idx="461">
                  <c:v>16.7</c:v>
                </c:pt>
                <c:pt idx="462">
                  <c:v>12</c:v>
                </c:pt>
                <c:pt idx="463">
                  <c:v>14.6</c:v>
                </c:pt>
                <c:pt idx="464">
                  <c:v>21.4</c:v>
                </c:pt>
                <c:pt idx="465">
                  <c:v>23</c:v>
                </c:pt>
                <c:pt idx="466">
                  <c:v>23.7</c:v>
                </c:pt>
                <c:pt idx="467">
                  <c:v>25</c:v>
                </c:pt>
                <c:pt idx="468">
                  <c:v>21.8</c:v>
                </c:pt>
                <c:pt idx="469">
                  <c:v>20.6</c:v>
                </c:pt>
                <c:pt idx="470">
                  <c:v>21.2</c:v>
                </c:pt>
                <c:pt idx="471">
                  <c:v>19.1</c:v>
                </c:pt>
                <c:pt idx="472">
                  <c:v>20.6</c:v>
                </c:pt>
                <c:pt idx="473">
                  <c:v>15.2</c:v>
                </c:pt>
                <c:pt idx="474">
                  <c:v>7</c:v>
                </c:pt>
                <c:pt idx="475">
                  <c:v>8.1</c:v>
                </c:pt>
                <c:pt idx="476">
                  <c:v>13.6</c:v>
                </c:pt>
                <c:pt idx="477">
                  <c:v>20.1</c:v>
                </c:pt>
                <c:pt idx="478">
                  <c:v>21.8</c:v>
                </c:pt>
                <c:pt idx="479">
                  <c:v>24.5</c:v>
                </c:pt>
                <c:pt idx="480">
                  <c:v>23.1</c:v>
                </c:pt>
                <c:pt idx="481">
                  <c:v>19.7</c:v>
                </c:pt>
                <c:pt idx="482">
                  <c:v>18.3</c:v>
                </c:pt>
                <c:pt idx="483">
                  <c:v>21.2</c:v>
                </c:pt>
                <c:pt idx="484">
                  <c:v>17.5</c:v>
                </c:pt>
                <c:pt idx="485">
                  <c:v>16.8</c:v>
                </c:pt>
                <c:pt idx="486">
                  <c:v>22.4</c:v>
                </c:pt>
                <c:pt idx="487">
                  <c:v>20.6</c:v>
                </c:pt>
                <c:pt idx="488">
                  <c:v>23.9</c:v>
                </c:pt>
                <c:pt idx="489">
                  <c:v>22</c:v>
                </c:pt>
                <c:pt idx="490">
                  <c:v>11.9</c:v>
                </c:pt>
              </c:numCache>
            </c:numRef>
          </c:yVal>
          <c:smooth val="1"/>
        </c:ser>
        <c:axId val="23126656"/>
        <c:axId val="77764080"/>
      </c:scatterChart>
      <c:valAx>
        <c:axId val="231266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100" spc="-1" strike="noStrike">
                    <a:solidFill>
                      <a:srgbClr val="44546a"/>
                    </a:solidFill>
                    <a:latin typeface="Calibri"/>
                  </a:defRPr>
                </a:pPr>
                <a:r>
                  <a:rPr b="1" sz="1100" spc="-1" strike="noStrike">
                    <a:solidFill>
                      <a:srgbClr val="44546a"/>
                    </a:solidFill>
                    <a:latin typeface="Calibri"/>
                  </a:rPr>
                  <a:t>% Lower Status Population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4546a"/>
                </a:solidFill>
                <a:latin typeface="Calibri"/>
              </a:defRPr>
            </a:pPr>
          </a:p>
        </c:txPr>
        <c:crossAx val="77764080"/>
        <c:crosses val="autoZero"/>
        <c:crossBetween val="midCat"/>
      </c:valAx>
      <c:valAx>
        <c:axId val="7776408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d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100" spc="-1" strike="noStrike">
                    <a:solidFill>
                      <a:srgbClr val="44546a"/>
                    </a:solidFill>
                    <a:latin typeface="Calibri"/>
                  </a:defRPr>
                </a:pPr>
                <a:r>
                  <a:rPr b="1" sz="1100" spc="-1" strike="noStrike">
                    <a:solidFill>
                      <a:srgbClr val="44546a"/>
                    </a:solidFill>
                    <a:latin typeface="Calibri"/>
                  </a:rPr>
                  <a:t>Price ($1000s)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4546a"/>
                </a:solidFill>
                <a:latin typeface="Calibri"/>
              </a:defRPr>
            </a:pPr>
          </a:p>
        </c:txPr>
        <c:crossAx val="23126656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0b1f3a"/>
                </a:solidFill>
                <a:latin typeface="Arial"/>
              </a:defRPr>
            </a:pPr>
            <a:r>
              <a:rPr b="1" sz="1400" spc="-1" strike="noStrike">
                <a:solidFill>
                  <a:srgbClr val="0b1f3a"/>
                </a:solidFill>
                <a:latin typeface="Arial"/>
              </a:rPr>
              <a:t>Riverfront Premium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Stats!E1</c:f>
              <c:strCache>
                <c:ptCount val="1"/>
                <c:pt idx="0">
                  <c:v>Average Price</c:v>
                </c:pt>
              </c:strCache>
            </c:strRef>
          </c:tx>
          <c:spPr>
            <a:solidFill>
              <a:srgbClr val="d4af3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Stats!$D$2:$D$3</c:f>
              <c:strCache>
                <c:ptCount val="2"/>
                <c:pt idx="0">
                  <c:v>Not on River</c:v>
                </c:pt>
                <c:pt idx="1">
                  <c:v>On River</c:v>
                </c:pt>
              </c:strCache>
            </c:strRef>
          </c:cat>
          <c:val>
            <c:numRef>
              <c:f>Stats!$E$2:$E$3</c:f>
              <c:numCache>
                <c:formatCode>\$#,##0.00</c:formatCode>
                <c:ptCount val="2"/>
                <c:pt idx="0">
                  <c:v>21.4885032537961</c:v>
                </c:pt>
                <c:pt idx="1">
                  <c:v>23.9793103448276</c:v>
                </c:pt>
              </c:numCache>
            </c:numRef>
          </c:val>
        </c:ser>
        <c:gapWidth val="80"/>
        <c:overlap val="0"/>
        <c:axId val="90799439"/>
        <c:axId val="57756462"/>
      </c:barChart>
      <c:catAx>
        <c:axId val="9079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1" sz="1000" spc="-1" strike="noStrike">
                <a:solidFill>
                  <a:srgbClr val="44546a"/>
                </a:solidFill>
                <a:latin typeface="Calibri"/>
              </a:defRPr>
            </a:pPr>
          </a:p>
        </c:txPr>
        <c:crossAx val="57756462"/>
        <c:crosses val="autoZero"/>
        <c:auto val="1"/>
        <c:lblAlgn val="ctr"/>
        <c:lblOffset val="100"/>
        <c:noMultiLvlLbl val="0"/>
      </c:catAx>
      <c:valAx>
        <c:axId val="5775646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d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100" spc="-1" strike="noStrike">
                    <a:solidFill>
                      <a:srgbClr val="44546a"/>
                    </a:solidFill>
                    <a:latin typeface="Calibri"/>
                  </a:defRPr>
                </a:pPr>
                <a:r>
                  <a:rPr b="1" sz="1100" spc="-1" strike="noStrike">
                    <a:solidFill>
                      <a:srgbClr val="44546a"/>
                    </a:solidFill>
                    <a:latin typeface="Calibri"/>
                  </a:rPr>
                  <a:t>Average Price ($1000s)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4546a"/>
                </a:solidFill>
                <a:latin typeface="Calibri"/>
              </a:defRPr>
            </a:pPr>
          </a:p>
        </c:txPr>
        <c:crossAx val="9079943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image" Target="../media/image1.png"/><Relationship Id="rId6" Type="http://schemas.openxmlformats.org/officeDocument/2006/relationships/image" Target="../media/image2.png"/><Relationship Id="rId7" Type="http://schemas.openxmlformats.org/officeDocument/2006/relationships/image" Target="../media/image3.png"/><Relationship Id="rId8" Type="http://schemas.openxmlformats.org/officeDocument/2006/relationships/image" Target="../media/image4.png"/><Relationship Id="rId9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176040</xdr:rowOff>
    </xdr:from>
    <xdr:to>
      <xdr:col>6</xdr:col>
      <xdr:colOff>425520</xdr:colOff>
      <xdr:row>28</xdr:row>
      <xdr:rowOff>166680</xdr:rowOff>
    </xdr:to>
    <xdr:graphicFrame>
      <xdr:nvGraphicFramePr>
        <xdr:cNvPr id="0" name="Chart 1"/>
        <xdr:cNvGraphicFramePr/>
      </xdr:nvGraphicFramePr>
      <xdr:xfrm>
        <a:off x="141120" y="3781440"/>
        <a:ext cx="68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30</xdr:row>
      <xdr:rowOff>175680</xdr:rowOff>
    </xdr:from>
    <xdr:to>
      <xdr:col>6</xdr:col>
      <xdr:colOff>425520</xdr:colOff>
      <xdr:row>48</xdr:row>
      <xdr:rowOff>166320</xdr:rowOff>
    </xdr:to>
    <xdr:graphicFrame>
      <xdr:nvGraphicFramePr>
        <xdr:cNvPr id="1" name="Chart 2"/>
        <xdr:cNvGraphicFramePr/>
      </xdr:nvGraphicFramePr>
      <xdr:xfrm>
        <a:off x="141120" y="7591320"/>
        <a:ext cx="68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10</xdr:row>
      <xdr:rowOff>176040</xdr:rowOff>
    </xdr:from>
    <xdr:to>
      <xdr:col>11</xdr:col>
      <xdr:colOff>496080</xdr:colOff>
      <xdr:row>28</xdr:row>
      <xdr:rowOff>166680</xdr:rowOff>
    </xdr:to>
    <xdr:graphicFrame>
      <xdr:nvGraphicFramePr>
        <xdr:cNvPr id="2" name="Chart 3"/>
        <xdr:cNvGraphicFramePr/>
      </xdr:nvGraphicFramePr>
      <xdr:xfrm>
        <a:off x="6555240" y="3781440"/>
        <a:ext cx="68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30</xdr:row>
      <xdr:rowOff>175680</xdr:rowOff>
    </xdr:from>
    <xdr:to>
      <xdr:col>11</xdr:col>
      <xdr:colOff>496080</xdr:colOff>
      <xdr:row>48</xdr:row>
      <xdr:rowOff>166320</xdr:rowOff>
    </xdr:to>
    <xdr:graphicFrame>
      <xdr:nvGraphicFramePr>
        <xdr:cNvPr id="3" name="Chart 4"/>
        <xdr:cNvGraphicFramePr/>
      </xdr:nvGraphicFramePr>
      <xdr:xfrm>
        <a:off x="6555240" y="7591320"/>
        <a:ext cx="68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1418760</xdr:colOff>
      <xdr:row>0</xdr:row>
      <xdr:rowOff>1695240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0" y="0"/>
          <a:ext cx="9524520" cy="1695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266400</xdr:colOff>
      <xdr:row>4</xdr:row>
      <xdr:rowOff>37800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141120" y="2066760"/>
          <a:ext cx="266400" cy="266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266400</xdr:colOff>
      <xdr:row>4</xdr:row>
      <xdr:rowOff>37800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3242160" y="2066760"/>
          <a:ext cx="266400" cy="266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266400</xdr:colOff>
      <xdr:row>4</xdr:row>
      <xdr:rowOff>37800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6555240" y="2066760"/>
          <a:ext cx="266400" cy="266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266400</xdr:colOff>
      <xdr:row>4</xdr:row>
      <xdr:rowOff>37800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9656280" y="2066760"/>
          <a:ext cx="266400" cy="2664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7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5" min="2" style="0" width="22"/>
    <col collapsed="false" customWidth="true" hidden="false" outlineLevel="0" max="6" min="6" style="0" width="3"/>
    <col collapsed="false" customWidth="true" hidden="false" outlineLevel="0" max="10" min="7" style="0" width="22"/>
    <col collapsed="false" customWidth="true" hidden="false" outlineLevel="0" max="11" min="11" style="0" width="2"/>
  </cols>
  <sheetData>
    <row r="1" customFormat="false" ht="13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9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customFormat="false" ht="18" hidden="false" customHeight="true" outlineLevel="0" collapsed="false">
      <c r="A3" s="1"/>
      <c r="B3" s="2"/>
      <c r="C3" s="2"/>
      <c r="D3" s="3"/>
      <c r="E3" s="3"/>
      <c r="F3" s="1"/>
      <c r="G3" s="2"/>
      <c r="H3" s="2"/>
      <c r="I3" s="3"/>
      <c r="J3" s="3"/>
      <c r="K3" s="1"/>
      <c r="L3" s="1"/>
      <c r="M3" s="1"/>
      <c r="N3" s="1"/>
      <c r="O3" s="1"/>
      <c r="P3" s="1"/>
      <c r="Q3" s="1"/>
      <c r="R3" s="1"/>
      <c r="S3" s="1"/>
      <c r="T3" s="1"/>
    </row>
    <row r="4" customFormat="false" ht="18" hidden="false" customHeight="true" outlineLevel="0" collapsed="false">
      <c r="A4" s="1"/>
      <c r="B4" s="4"/>
      <c r="C4" s="4"/>
      <c r="D4" s="4"/>
      <c r="E4" s="4"/>
      <c r="F4" s="1"/>
      <c r="G4" s="4"/>
      <c r="H4" s="4"/>
      <c r="I4" s="4"/>
      <c r="J4" s="4"/>
      <c r="K4" s="1"/>
      <c r="L4" s="1"/>
      <c r="M4" s="1"/>
      <c r="N4" s="1"/>
      <c r="O4" s="1"/>
      <c r="P4" s="1"/>
      <c r="Q4" s="1"/>
      <c r="R4" s="1"/>
      <c r="S4" s="1"/>
      <c r="T4" s="1"/>
    </row>
    <row r="5" customFormat="false" ht="18" hidden="false" customHeight="true" outlineLevel="0" collapsed="false">
      <c r="A5" s="1"/>
      <c r="B5" s="4"/>
      <c r="C5" s="4"/>
      <c r="D5" s="4"/>
      <c r="E5" s="4"/>
      <c r="F5" s="1"/>
      <c r="G5" s="4"/>
      <c r="H5" s="4"/>
      <c r="I5" s="4"/>
      <c r="J5" s="4"/>
      <c r="K5" s="1"/>
      <c r="L5" s="1"/>
      <c r="M5" s="1"/>
      <c r="N5" s="1"/>
      <c r="O5" s="1"/>
      <c r="P5" s="1"/>
      <c r="Q5" s="1"/>
      <c r="R5" s="1"/>
      <c r="S5" s="1"/>
      <c r="T5" s="1"/>
    </row>
    <row r="6" customFormat="false" ht="18" hidden="false" customHeight="true" outlineLevel="0" collapsed="false">
      <c r="A6" s="1"/>
      <c r="B6" s="5" t="s">
        <v>0</v>
      </c>
      <c r="C6" s="5"/>
      <c r="D6" s="5" t="s">
        <v>1</v>
      </c>
      <c r="E6" s="5"/>
      <c r="F6" s="1"/>
      <c r="G6" s="5" t="s">
        <v>2</v>
      </c>
      <c r="H6" s="5"/>
      <c r="I6" s="5" t="s">
        <v>3</v>
      </c>
      <c r="J6" s="5"/>
      <c r="K6" s="1"/>
      <c r="L6" s="1"/>
      <c r="M6" s="1"/>
      <c r="N6" s="1"/>
      <c r="O6" s="1"/>
      <c r="P6" s="1"/>
      <c r="Q6" s="1"/>
      <c r="R6" s="1"/>
      <c r="S6" s="1"/>
      <c r="T6" s="1"/>
    </row>
    <row r="7" customFormat="false" ht="18" hidden="false" customHeight="true" outlineLevel="0" collapsed="false">
      <c r="A7" s="1"/>
      <c r="B7" s="6" t="n">
        <f aca="false">Stats!H2*1000</f>
        <v>21635.9183673469</v>
      </c>
      <c r="C7" s="6"/>
      <c r="D7" s="7" t="n">
        <f aca="false">Stats!H4</f>
        <v>490</v>
      </c>
      <c r="E7" s="7"/>
      <c r="F7" s="1"/>
      <c r="G7" s="8" t="str">
        <f aca="false">Stats!H5</f>
        <v>RM</v>
      </c>
      <c r="H7" s="8"/>
      <c r="I7" s="9" t="n">
        <v>0.89</v>
      </c>
      <c r="J7" s="9"/>
      <c r="K7" s="1"/>
      <c r="L7" s="1"/>
      <c r="M7" s="1"/>
      <c r="N7" s="1"/>
      <c r="O7" s="1"/>
      <c r="P7" s="1"/>
      <c r="Q7" s="1"/>
      <c r="R7" s="1"/>
      <c r="S7" s="1"/>
      <c r="T7" s="1"/>
    </row>
    <row r="8" customFormat="false" ht="18" hidden="false" customHeight="true" outlineLevel="0" collapsed="false">
      <c r="A8" s="1"/>
      <c r="B8" s="6"/>
      <c r="C8" s="6"/>
      <c r="D8" s="7"/>
      <c r="E8" s="7"/>
      <c r="F8" s="1"/>
      <c r="G8" s="8"/>
      <c r="H8" s="8"/>
      <c r="I8" s="9"/>
      <c r="J8" s="9"/>
      <c r="K8" s="1"/>
      <c r="L8" s="1"/>
      <c r="M8" s="1"/>
      <c r="N8" s="1"/>
      <c r="O8" s="1"/>
      <c r="P8" s="1"/>
      <c r="Q8" s="1"/>
      <c r="R8" s="1"/>
      <c r="S8" s="1"/>
      <c r="T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customFormat="false" ht="16.15" hidden="false" customHeight="false" outlineLevel="0" collapsed="false">
      <c r="A10" s="1"/>
      <c r="B10" s="10" t="s">
        <v>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</sheetData>
  <mergeCells count="8">
    <mergeCell ref="B6:C6"/>
    <mergeCell ref="D6:E6"/>
    <mergeCell ref="G6:H6"/>
    <mergeCell ref="I6:J6"/>
    <mergeCell ref="B7:C8"/>
    <mergeCell ref="D7:E8"/>
    <mergeCell ref="G7:H8"/>
    <mergeCell ref="I7:J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0"/>
    <col collapsed="false" customWidth="true" hidden="false" outlineLevel="0" max="11" min="11" style="0" width="11"/>
    <col collapsed="false" customWidth="true" hidden="false" outlineLevel="0" max="14" min="12" style="0" width="10"/>
  </cols>
  <sheetData>
    <row r="1" customFormat="false" ht="15" hidden="false" customHeight="false" outlineLevel="0" collapsed="false">
      <c r="A1" s="11" t="s">
        <v>5</v>
      </c>
      <c r="B1" s="11" t="s">
        <v>6</v>
      </c>
      <c r="C1" s="11" t="s">
        <v>7</v>
      </c>
      <c r="D1" s="11" t="s">
        <v>8</v>
      </c>
      <c r="E1" s="11" t="s">
        <v>9</v>
      </c>
      <c r="F1" s="11" t="s">
        <v>10</v>
      </c>
      <c r="G1" s="11" t="s">
        <v>11</v>
      </c>
      <c r="H1" s="11" t="s">
        <v>12</v>
      </c>
      <c r="I1" s="11" t="s">
        <v>13</v>
      </c>
      <c r="J1" s="11" t="s">
        <v>14</v>
      </c>
      <c r="K1" s="11" t="s">
        <v>15</v>
      </c>
      <c r="L1" s="11" t="s">
        <v>16</v>
      </c>
      <c r="M1" s="11" t="s">
        <v>17</v>
      </c>
      <c r="N1" s="11" t="s">
        <v>18</v>
      </c>
    </row>
    <row r="2" customFormat="false" ht="15" hidden="false" customHeight="false" outlineLevel="0" collapsed="false">
      <c r="A2" s="12" t="n">
        <v>0.00632</v>
      </c>
      <c r="B2" s="12" t="n">
        <v>18</v>
      </c>
      <c r="C2" s="12" t="n">
        <v>2.31</v>
      </c>
      <c r="D2" s="13" t="n">
        <v>0</v>
      </c>
      <c r="E2" s="12" t="n">
        <v>0.538</v>
      </c>
      <c r="F2" s="12" t="n">
        <v>6.575</v>
      </c>
      <c r="G2" s="12" t="n">
        <v>65.2</v>
      </c>
      <c r="H2" s="12" t="n">
        <v>4.09</v>
      </c>
      <c r="I2" s="12" t="n">
        <v>1</v>
      </c>
      <c r="J2" s="12" t="n">
        <v>296</v>
      </c>
      <c r="K2" s="12" t="n">
        <v>15.3</v>
      </c>
      <c r="L2" s="12" t="n">
        <v>396.9</v>
      </c>
      <c r="M2" s="12" t="n">
        <v>4.98</v>
      </c>
      <c r="N2" s="12" t="n">
        <v>24</v>
      </c>
    </row>
    <row r="3" customFormat="false" ht="15" hidden="false" customHeight="false" outlineLevel="0" collapsed="false">
      <c r="A3" s="14" t="n">
        <v>0.02731</v>
      </c>
      <c r="B3" s="14" t="n">
        <v>0</v>
      </c>
      <c r="C3" s="14" t="n">
        <v>7.07</v>
      </c>
      <c r="D3" s="15" t="n">
        <v>0</v>
      </c>
      <c r="E3" s="14" t="n">
        <v>0.469</v>
      </c>
      <c r="F3" s="14" t="n">
        <v>6.421</v>
      </c>
      <c r="G3" s="14" t="n">
        <v>78.9</v>
      </c>
      <c r="H3" s="14" t="n">
        <v>4.9671</v>
      </c>
      <c r="I3" s="14" t="n">
        <v>2</v>
      </c>
      <c r="J3" s="14" t="n">
        <v>242</v>
      </c>
      <c r="K3" s="14" t="n">
        <v>17.8</v>
      </c>
      <c r="L3" s="14" t="n">
        <v>396.9</v>
      </c>
      <c r="M3" s="14" t="n">
        <v>9.14</v>
      </c>
      <c r="N3" s="14" t="n">
        <v>21.6</v>
      </c>
    </row>
    <row r="4" customFormat="false" ht="15" hidden="false" customHeight="false" outlineLevel="0" collapsed="false">
      <c r="A4" s="12" t="n">
        <v>0.02729</v>
      </c>
      <c r="B4" s="12" t="n">
        <v>0</v>
      </c>
      <c r="C4" s="12" t="n">
        <v>7.07</v>
      </c>
      <c r="D4" s="13" t="n">
        <v>0</v>
      </c>
      <c r="E4" s="12" t="n">
        <v>0.469</v>
      </c>
      <c r="F4" s="12" t="n">
        <v>7.185</v>
      </c>
      <c r="G4" s="12" t="n">
        <v>61.1</v>
      </c>
      <c r="H4" s="12" t="n">
        <v>4.9671</v>
      </c>
      <c r="I4" s="12" t="n">
        <v>2</v>
      </c>
      <c r="J4" s="12" t="n">
        <v>242</v>
      </c>
      <c r="K4" s="12" t="n">
        <v>17.8</v>
      </c>
      <c r="L4" s="12" t="n">
        <v>392.83</v>
      </c>
      <c r="M4" s="12" t="n">
        <v>4.03</v>
      </c>
      <c r="N4" s="12" t="n">
        <v>34.7</v>
      </c>
    </row>
    <row r="5" customFormat="false" ht="15" hidden="false" customHeight="false" outlineLevel="0" collapsed="false">
      <c r="A5" s="14" t="n">
        <v>0.03237</v>
      </c>
      <c r="B5" s="14" t="n">
        <v>0</v>
      </c>
      <c r="C5" s="14" t="n">
        <v>2.18</v>
      </c>
      <c r="D5" s="15" t="n">
        <v>0</v>
      </c>
      <c r="E5" s="14" t="n">
        <v>0.458</v>
      </c>
      <c r="F5" s="14" t="n">
        <v>6.998</v>
      </c>
      <c r="G5" s="14" t="n">
        <v>45.8</v>
      </c>
      <c r="H5" s="14" t="n">
        <v>6.0622</v>
      </c>
      <c r="I5" s="14" t="n">
        <v>3</v>
      </c>
      <c r="J5" s="14" t="n">
        <v>222</v>
      </c>
      <c r="K5" s="14" t="n">
        <v>18.7</v>
      </c>
      <c r="L5" s="14" t="n">
        <v>394.63</v>
      </c>
      <c r="M5" s="14" t="n">
        <v>2.94</v>
      </c>
      <c r="N5" s="14" t="n">
        <v>33.4</v>
      </c>
    </row>
    <row r="6" customFormat="false" ht="15" hidden="false" customHeight="false" outlineLevel="0" collapsed="false">
      <c r="A6" s="12" t="n">
        <v>0.06905</v>
      </c>
      <c r="B6" s="12" t="n">
        <v>0</v>
      </c>
      <c r="C6" s="12" t="n">
        <v>2.18</v>
      </c>
      <c r="D6" s="13" t="n">
        <v>0</v>
      </c>
      <c r="E6" s="12" t="n">
        <v>0.458</v>
      </c>
      <c r="F6" s="12" t="n">
        <v>7.147</v>
      </c>
      <c r="G6" s="12" t="n">
        <v>54.2</v>
      </c>
      <c r="H6" s="12" t="n">
        <v>6.0622</v>
      </c>
      <c r="I6" s="12" t="n">
        <v>3</v>
      </c>
      <c r="J6" s="12" t="n">
        <v>222</v>
      </c>
      <c r="K6" s="12" t="n">
        <v>18.7</v>
      </c>
      <c r="L6" s="12" t="n">
        <v>396.9</v>
      </c>
      <c r="M6" s="12" t="n">
        <v>5.33</v>
      </c>
      <c r="N6" s="12" t="n">
        <v>36.2</v>
      </c>
    </row>
    <row r="7" customFormat="false" ht="15" hidden="false" customHeight="false" outlineLevel="0" collapsed="false">
      <c r="A7" s="14" t="n">
        <v>0.02985</v>
      </c>
      <c r="B7" s="14" t="n">
        <v>0</v>
      </c>
      <c r="C7" s="14" t="n">
        <v>2.18</v>
      </c>
      <c r="D7" s="15" t="n">
        <v>0</v>
      </c>
      <c r="E7" s="14" t="n">
        <v>0.458</v>
      </c>
      <c r="F7" s="14" t="n">
        <v>6.43</v>
      </c>
      <c r="G7" s="14" t="n">
        <v>58.7</v>
      </c>
      <c r="H7" s="14" t="n">
        <v>6.0622</v>
      </c>
      <c r="I7" s="14" t="n">
        <v>3</v>
      </c>
      <c r="J7" s="14" t="n">
        <v>222</v>
      </c>
      <c r="K7" s="14" t="n">
        <v>18.7</v>
      </c>
      <c r="L7" s="14" t="n">
        <v>394.12</v>
      </c>
      <c r="M7" s="14" t="n">
        <v>5.21</v>
      </c>
      <c r="N7" s="14" t="n">
        <v>28.7</v>
      </c>
    </row>
    <row r="8" customFormat="false" ht="15" hidden="false" customHeight="false" outlineLevel="0" collapsed="false">
      <c r="A8" s="12" t="n">
        <v>0.08829</v>
      </c>
      <c r="B8" s="12" t="n">
        <v>12.5</v>
      </c>
      <c r="C8" s="12" t="n">
        <v>7.87</v>
      </c>
      <c r="D8" s="13" t="n">
        <v>0</v>
      </c>
      <c r="E8" s="12" t="n">
        <v>0.524</v>
      </c>
      <c r="F8" s="12" t="n">
        <v>6.012</v>
      </c>
      <c r="G8" s="12" t="n">
        <v>66.6</v>
      </c>
      <c r="H8" s="12" t="n">
        <v>5.5605</v>
      </c>
      <c r="I8" s="12" t="n">
        <v>5</v>
      </c>
      <c r="J8" s="12" t="n">
        <v>311</v>
      </c>
      <c r="K8" s="12" t="n">
        <v>15.2</v>
      </c>
      <c r="L8" s="12" t="n">
        <v>395.6</v>
      </c>
      <c r="M8" s="12" t="n">
        <v>12.43</v>
      </c>
      <c r="N8" s="12" t="n">
        <v>22.9</v>
      </c>
    </row>
    <row r="9" customFormat="false" ht="15" hidden="false" customHeight="false" outlineLevel="0" collapsed="false">
      <c r="A9" s="14" t="n">
        <v>0.14455</v>
      </c>
      <c r="B9" s="14" t="n">
        <v>12.5</v>
      </c>
      <c r="C9" s="14" t="n">
        <v>7.87</v>
      </c>
      <c r="D9" s="15" t="n">
        <v>0</v>
      </c>
      <c r="E9" s="14" t="n">
        <v>0.524</v>
      </c>
      <c r="F9" s="14" t="n">
        <v>6.172</v>
      </c>
      <c r="G9" s="14" t="n">
        <v>96.1</v>
      </c>
      <c r="H9" s="14" t="n">
        <v>5.9505</v>
      </c>
      <c r="I9" s="14" t="n">
        <v>5</v>
      </c>
      <c r="J9" s="14" t="n">
        <v>311</v>
      </c>
      <c r="K9" s="14" t="n">
        <v>15.2</v>
      </c>
      <c r="L9" s="14" t="n">
        <v>396.9</v>
      </c>
      <c r="M9" s="14" t="n">
        <v>19.15</v>
      </c>
      <c r="N9" s="14" t="n">
        <v>27.1</v>
      </c>
    </row>
    <row r="10" customFormat="false" ht="15" hidden="false" customHeight="false" outlineLevel="0" collapsed="false">
      <c r="A10" s="12" t="n">
        <v>0.21124</v>
      </c>
      <c r="B10" s="12" t="n">
        <v>12.5</v>
      </c>
      <c r="C10" s="12" t="n">
        <v>7.87</v>
      </c>
      <c r="D10" s="13" t="n">
        <v>0</v>
      </c>
      <c r="E10" s="12" t="n">
        <v>0.524</v>
      </c>
      <c r="F10" s="12" t="n">
        <v>5.631</v>
      </c>
      <c r="G10" s="12" t="n">
        <v>100</v>
      </c>
      <c r="H10" s="12" t="n">
        <v>6.0821</v>
      </c>
      <c r="I10" s="12" t="n">
        <v>5</v>
      </c>
      <c r="J10" s="12" t="n">
        <v>311</v>
      </c>
      <c r="K10" s="12" t="n">
        <v>15.2</v>
      </c>
      <c r="L10" s="12" t="n">
        <v>386.63</v>
      </c>
      <c r="M10" s="12" t="n">
        <v>29.93</v>
      </c>
      <c r="N10" s="12" t="n">
        <v>16.5</v>
      </c>
    </row>
    <row r="11" customFormat="false" ht="15" hidden="false" customHeight="false" outlineLevel="0" collapsed="false">
      <c r="A11" s="14" t="n">
        <v>0.17004</v>
      </c>
      <c r="B11" s="14" t="n">
        <v>12.5</v>
      </c>
      <c r="C11" s="14" t="n">
        <v>7.87</v>
      </c>
      <c r="D11" s="15" t="n">
        <v>0</v>
      </c>
      <c r="E11" s="14" t="n">
        <v>0.524</v>
      </c>
      <c r="F11" s="14" t="n">
        <v>6.004</v>
      </c>
      <c r="G11" s="14" t="n">
        <v>85.9</v>
      </c>
      <c r="H11" s="14" t="n">
        <v>6.5921</v>
      </c>
      <c r="I11" s="14" t="n">
        <v>5</v>
      </c>
      <c r="J11" s="14" t="n">
        <v>311</v>
      </c>
      <c r="K11" s="14" t="n">
        <v>15.2</v>
      </c>
      <c r="L11" s="14" t="n">
        <v>386.71</v>
      </c>
      <c r="M11" s="14" t="n">
        <v>17.1</v>
      </c>
      <c r="N11" s="14" t="n">
        <v>18.9</v>
      </c>
    </row>
    <row r="12" customFormat="false" ht="15" hidden="false" customHeight="false" outlineLevel="0" collapsed="false">
      <c r="A12" s="12" t="n">
        <v>0.22489</v>
      </c>
      <c r="B12" s="12" t="n">
        <v>12.5</v>
      </c>
      <c r="C12" s="12" t="n">
        <v>7.87</v>
      </c>
      <c r="D12" s="13" t="n">
        <v>0</v>
      </c>
      <c r="E12" s="12" t="n">
        <v>0.524</v>
      </c>
      <c r="F12" s="12" t="n">
        <v>6.377</v>
      </c>
      <c r="G12" s="12" t="n">
        <v>94.3</v>
      </c>
      <c r="H12" s="12" t="n">
        <v>6.3467</v>
      </c>
      <c r="I12" s="12" t="n">
        <v>5</v>
      </c>
      <c r="J12" s="12" t="n">
        <v>311</v>
      </c>
      <c r="K12" s="12" t="n">
        <v>15.2</v>
      </c>
      <c r="L12" s="12" t="n">
        <v>392.52</v>
      </c>
      <c r="M12" s="12" t="n">
        <v>20.45</v>
      </c>
      <c r="N12" s="12" t="n">
        <v>15</v>
      </c>
    </row>
    <row r="13" customFormat="false" ht="15" hidden="false" customHeight="false" outlineLevel="0" collapsed="false">
      <c r="A13" s="14" t="n">
        <v>0.11747</v>
      </c>
      <c r="B13" s="14" t="n">
        <v>12.5</v>
      </c>
      <c r="C13" s="14" t="n">
        <v>7.87</v>
      </c>
      <c r="D13" s="15" t="n">
        <v>0</v>
      </c>
      <c r="E13" s="14" t="n">
        <v>0.524</v>
      </c>
      <c r="F13" s="14" t="n">
        <v>6.009</v>
      </c>
      <c r="G13" s="14" t="n">
        <v>82.9</v>
      </c>
      <c r="H13" s="14" t="n">
        <v>6.2267</v>
      </c>
      <c r="I13" s="14" t="n">
        <v>5</v>
      </c>
      <c r="J13" s="14" t="n">
        <v>311</v>
      </c>
      <c r="K13" s="14" t="n">
        <v>15.2</v>
      </c>
      <c r="L13" s="14" t="n">
        <v>396.9</v>
      </c>
      <c r="M13" s="14" t="n">
        <v>13.27</v>
      </c>
      <c r="N13" s="14" t="n">
        <v>18.9</v>
      </c>
    </row>
    <row r="14" customFormat="false" ht="15" hidden="false" customHeight="false" outlineLevel="0" collapsed="false">
      <c r="A14" s="12" t="n">
        <v>0.09378</v>
      </c>
      <c r="B14" s="12" t="n">
        <v>12.5</v>
      </c>
      <c r="C14" s="12" t="n">
        <v>7.87</v>
      </c>
      <c r="D14" s="13" t="n">
        <v>0</v>
      </c>
      <c r="E14" s="12" t="n">
        <v>0.524</v>
      </c>
      <c r="F14" s="12" t="n">
        <v>5.889</v>
      </c>
      <c r="G14" s="12" t="n">
        <v>39</v>
      </c>
      <c r="H14" s="12" t="n">
        <v>5.4509</v>
      </c>
      <c r="I14" s="12" t="n">
        <v>5</v>
      </c>
      <c r="J14" s="12" t="n">
        <v>311</v>
      </c>
      <c r="K14" s="12" t="n">
        <v>15.2</v>
      </c>
      <c r="L14" s="12" t="n">
        <v>390.5</v>
      </c>
      <c r="M14" s="12" t="n">
        <v>15.71</v>
      </c>
      <c r="N14" s="12" t="n">
        <v>21.7</v>
      </c>
    </row>
    <row r="15" customFormat="false" ht="15" hidden="false" customHeight="false" outlineLevel="0" collapsed="false">
      <c r="A15" s="14" t="n">
        <v>0.62976</v>
      </c>
      <c r="B15" s="14" t="n">
        <v>0</v>
      </c>
      <c r="C15" s="14" t="n">
        <v>8.14</v>
      </c>
      <c r="D15" s="15" t="n">
        <v>0</v>
      </c>
      <c r="E15" s="14" t="n">
        <v>0.538</v>
      </c>
      <c r="F15" s="14" t="n">
        <v>5.949</v>
      </c>
      <c r="G15" s="14" t="n">
        <v>61.8</v>
      </c>
      <c r="H15" s="14" t="n">
        <v>4.7075</v>
      </c>
      <c r="I15" s="14" t="n">
        <v>4</v>
      </c>
      <c r="J15" s="14" t="n">
        <v>307</v>
      </c>
      <c r="K15" s="14" t="n">
        <v>21</v>
      </c>
      <c r="L15" s="14" t="n">
        <v>396.9</v>
      </c>
      <c r="M15" s="14" t="n">
        <v>8.26</v>
      </c>
      <c r="N15" s="14" t="n">
        <v>20.4</v>
      </c>
    </row>
    <row r="16" customFormat="false" ht="15" hidden="false" customHeight="false" outlineLevel="0" collapsed="false">
      <c r="A16" s="12" t="n">
        <v>0.63796</v>
      </c>
      <c r="B16" s="12" t="n">
        <v>0</v>
      </c>
      <c r="C16" s="12" t="n">
        <v>8.14</v>
      </c>
      <c r="D16" s="13" t="n">
        <v>0</v>
      </c>
      <c r="E16" s="12" t="n">
        <v>0.538</v>
      </c>
      <c r="F16" s="12" t="n">
        <v>6.096</v>
      </c>
      <c r="G16" s="12" t="n">
        <v>84.5</v>
      </c>
      <c r="H16" s="12" t="n">
        <v>4.4619</v>
      </c>
      <c r="I16" s="12" t="n">
        <v>4</v>
      </c>
      <c r="J16" s="12" t="n">
        <v>307</v>
      </c>
      <c r="K16" s="12" t="n">
        <v>21</v>
      </c>
      <c r="L16" s="12" t="n">
        <v>380.02</v>
      </c>
      <c r="M16" s="12" t="n">
        <v>10.26</v>
      </c>
      <c r="N16" s="12" t="n">
        <v>18.2</v>
      </c>
    </row>
    <row r="17" customFormat="false" ht="15" hidden="false" customHeight="false" outlineLevel="0" collapsed="false">
      <c r="A17" s="14" t="n">
        <v>0.62739</v>
      </c>
      <c r="B17" s="14" t="n">
        <v>0</v>
      </c>
      <c r="C17" s="14" t="n">
        <v>8.14</v>
      </c>
      <c r="D17" s="15" t="n">
        <v>0</v>
      </c>
      <c r="E17" s="14" t="n">
        <v>0.538</v>
      </c>
      <c r="F17" s="14" t="n">
        <v>5.834</v>
      </c>
      <c r="G17" s="14" t="n">
        <v>56.5</v>
      </c>
      <c r="H17" s="14" t="n">
        <v>4.4986</v>
      </c>
      <c r="I17" s="14" t="n">
        <v>4</v>
      </c>
      <c r="J17" s="14" t="n">
        <v>307</v>
      </c>
      <c r="K17" s="14" t="n">
        <v>21</v>
      </c>
      <c r="L17" s="14" t="n">
        <v>395.62</v>
      </c>
      <c r="M17" s="14" t="n">
        <v>8.47</v>
      </c>
      <c r="N17" s="14" t="n">
        <v>19.9</v>
      </c>
    </row>
    <row r="18" customFormat="false" ht="15" hidden="false" customHeight="false" outlineLevel="0" collapsed="false">
      <c r="A18" s="12" t="n">
        <v>1.05393</v>
      </c>
      <c r="B18" s="12" t="n">
        <v>0</v>
      </c>
      <c r="C18" s="12" t="n">
        <v>8.14</v>
      </c>
      <c r="D18" s="13" t="n">
        <v>0</v>
      </c>
      <c r="E18" s="12" t="n">
        <v>0.538</v>
      </c>
      <c r="F18" s="12" t="n">
        <v>5.935</v>
      </c>
      <c r="G18" s="12" t="n">
        <v>29.3</v>
      </c>
      <c r="H18" s="12" t="n">
        <v>4.4986</v>
      </c>
      <c r="I18" s="12" t="n">
        <v>4</v>
      </c>
      <c r="J18" s="12" t="n">
        <v>307</v>
      </c>
      <c r="K18" s="12" t="n">
        <v>21</v>
      </c>
      <c r="L18" s="12" t="n">
        <v>386.85</v>
      </c>
      <c r="M18" s="12" t="n">
        <v>6.58</v>
      </c>
      <c r="N18" s="12" t="n">
        <v>23.1</v>
      </c>
    </row>
    <row r="19" customFormat="false" ht="15" hidden="false" customHeight="false" outlineLevel="0" collapsed="false">
      <c r="A19" s="14" t="n">
        <v>0.7842</v>
      </c>
      <c r="B19" s="14" t="n">
        <v>0</v>
      </c>
      <c r="C19" s="14" t="n">
        <v>8.14</v>
      </c>
      <c r="D19" s="15" t="n">
        <v>0</v>
      </c>
      <c r="E19" s="14" t="n">
        <v>0.538</v>
      </c>
      <c r="F19" s="14" t="n">
        <v>5.99</v>
      </c>
      <c r="G19" s="14" t="n">
        <v>81.7</v>
      </c>
      <c r="H19" s="14" t="n">
        <v>4.2579</v>
      </c>
      <c r="I19" s="14" t="n">
        <v>4</v>
      </c>
      <c r="J19" s="14" t="n">
        <v>307</v>
      </c>
      <c r="K19" s="14" t="n">
        <v>21</v>
      </c>
      <c r="L19" s="14" t="n">
        <v>386.75</v>
      </c>
      <c r="M19" s="14" t="n">
        <v>14.67</v>
      </c>
      <c r="N19" s="14" t="n">
        <v>17.5</v>
      </c>
    </row>
    <row r="20" customFormat="false" ht="15" hidden="false" customHeight="false" outlineLevel="0" collapsed="false">
      <c r="A20" s="12" t="n">
        <v>0.80271</v>
      </c>
      <c r="B20" s="12" t="n">
        <v>0</v>
      </c>
      <c r="C20" s="12" t="n">
        <v>8.14</v>
      </c>
      <c r="D20" s="13" t="n">
        <v>0</v>
      </c>
      <c r="E20" s="12" t="n">
        <v>0.538</v>
      </c>
      <c r="F20" s="12" t="n">
        <v>5.456</v>
      </c>
      <c r="G20" s="12" t="n">
        <v>36.6</v>
      </c>
      <c r="H20" s="12" t="n">
        <v>3.7965</v>
      </c>
      <c r="I20" s="12" t="n">
        <v>4</v>
      </c>
      <c r="J20" s="12" t="n">
        <v>307</v>
      </c>
      <c r="K20" s="12" t="n">
        <v>21</v>
      </c>
      <c r="L20" s="12" t="n">
        <v>288.99</v>
      </c>
      <c r="M20" s="12" t="n">
        <v>11.69</v>
      </c>
      <c r="N20" s="12" t="n">
        <v>20.2</v>
      </c>
    </row>
    <row r="21" customFormat="false" ht="15" hidden="false" customHeight="false" outlineLevel="0" collapsed="false">
      <c r="A21" s="14" t="n">
        <v>0.7258</v>
      </c>
      <c r="B21" s="14" t="n">
        <v>0</v>
      </c>
      <c r="C21" s="14" t="n">
        <v>8.14</v>
      </c>
      <c r="D21" s="15" t="n">
        <v>0</v>
      </c>
      <c r="E21" s="14" t="n">
        <v>0.538</v>
      </c>
      <c r="F21" s="14" t="n">
        <v>5.727</v>
      </c>
      <c r="G21" s="14" t="n">
        <v>69.5</v>
      </c>
      <c r="H21" s="14" t="n">
        <v>3.7965</v>
      </c>
      <c r="I21" s="14" t="n">
        <v>4</v>
      </c>
      <c r="J21" s="14" t="n">
        <v>307</v>
      </c>
      <c r="K21" s="14" t="n">
        <v>21</v>
      </c>
      <c r="L21" s="14" t="n">
        <v>390.95</v>
      </c>
      <c r="M21" s="14" t="n">
        <v>11.28</v>
      </c>
      <c r="N21" s="14" t="n">
        <v>18.2</v>
      </c>
    </row>
    <row r="22" customFormat="false" ht="15" hidden="false" customHeight="false" outlineLevel="0" collapsed="false">
      <c r="A22" s="12" t="n">
        <v>1.25179</v>
      </c>
      <c r="B22" s="12" t="n">
        <v>0</v>
      </c>
      <c r="C22" s="12" t="n">
        <v>8.14</v>
      </c>
      <c r="D22" s="13" t="n">
        <v>0</v>
      </c>
      <c r="E22" s="12" t="n">
        <v>0.538</v>
      </c>
      <c r="F22" s="12" t="n">
        <v>5.57</v>
      </c>
      <c r="G22" s="12" t="n">
        <v>98.1</v>
      </c>
      <c r="H22" s="12" t="n">
        <v>3.7979</v>
      </c>
      <c r="I22" s="12" t="n">
        <v>4</v>
      </c>
      <c r="J22" s="12" t="n">
        <v>307</v>
      </c>
      <c r="K22" s="12" t="n">
        <v>21</v>
      </c>
      <c r="L22" s="12" t="n">
        <v>376.57</v>
      </c>
      <c r="M22" s="12" t="n">
        <v>21.02</v>
      </c>
      <c r="N22" s="12" t="n">
        <v>13.6</v>
      </c>
    </row>
    <row r="23" customFormat="false" ht="15" hidden="false" customHeight="false" outlineLevel="0" collapsed="false">
      <c r="A23" s="14" t="n">
        <v>0.85204</v>
      </c>
      <c r="B23" s="14" t="n">
        <v>0</v>
      </c>
      <c r="C23" s="14" t="n">
        <v>8.14</v>
      </c>
      <c r="D23" s="15" t="n">
        <v>0</v>
      </c>
      <c r="E23" s="14" t="n">
        <v>0.538</v>
      </c>
      <c r="F23" s="14" t="n">
        <v>5.965</v>
      </c>
      <c r="G23" s="14" t="n">
        <v>89.2</v>
      </c>
      <c r="H23" s="14" t="n">
        <v>4.0123</v>
      </c>
      <c r="I23" s="14" t="n">
        <v>4</v>
      </c>
      <c r="J23" s="14" t="n">
        <v>307</v>
      </c>
      <c r="K23" s="14" t="n">
        <v>21</v>
      </c>
      <c r="L23" s="14" t="n">
        <v>392.53</v>
      </c>
      <c r="M23" s="14" t="n">
        <v>13.83</v>
      </c>
      <c r="N23" s="14" t="n">
        <v>19.6</v>
      </c>
    </row>
    <row r="24" customFormat="false" ht="15" hidden="false" customHeight="false" outlineLevel="0" collapsed="false">
      <c r="A24" s="12" t="n">
        <v>1.23247</v>
      </c>
      <c r="B24" s="12" t="n">
        <v>0</v>
      </c>
      <c r="C24" s="12" t="n">
        <v>8.14</v>
      </c>
      <c r="D24" s="13" t="n">
        <v>0</v>
      </c>
      <c r="E24" s="12" t="n">
        <v>0.538</v>
      </c>
      <c r="F24" s="12" t="n">
        <v>6.142</v>
      </c>
      <c r="G24" s="12" t="n">
        <v>91.7</v>
      </c>
      <c r="H24" s="12" t="n">
        <v>3.9769</v>
      </c>
      <c r="I24" s="12" t="n">
        <v>4</v>
      </c>
      <c r="J24" s="12" t="n">
        <v>307</v>
      </c>
      <c r="K24" s="12" t="n">
        <v>21</v>
      </c>
      <c r="L24" s="12" t="n">
        <v>396.9</v>
      </c>
      <c r="M24" s="12" t="n">
        <v>18.72</v>
      </c>
      <c r="N24" s="12" t="n">
        <v>15.2</v>
      </c>
    </row>
    <row r="25" customFormat="false" ht="15" hidden="false" customHeight="false" outlineLevel="0" collapsed="false">
      <c r="A25" s="14" t="n">
        <v>0.98843</v>
      </c>
      <c r="B25" s="14" t="n">
        <v>0</v>
      </c>
      <c r="C25" s="14" t="n">
        <v>8.14</v>
      </c>
      <c r="D25" s="15" t="n">
        <v>0</v>
      </c>
      <c r="E25" s="14" t="n">
        <v>0.538</v>
      </c>
      <c r="F25" s="14" t="n">
        <v>5.813</v>
      </c>
      <c r="G25" s="14" t="n">
        <v>100</v>
      </c>
      <c r="H25" s="14" t="n">
        <v>4.0952</v>
      </c>
      <c r="I25" s="14" t="n">
        <v>4</v>
      </c>
      <c r="J25" s="14" t="n">
        <v>307</v>
      </c>
      <c r="K25" s="14" t="n">
        <v>21</v>
      </c>
      <c r="L25" s="14" t="n">
        <v>394.54</v>
      </c>
      <c r="M25" s="14" t="n">
        <v>19.88</v>
      </c>
      <c r="N25" s="14" t="n">
        <v>14.5</v>
      </c>
    </row>
    <row r="26" customFormat="false" ht="15" hidden="false" customHeight="false" outlineLevel="0" collapsed="false">
      <c r="A26" s="12" t="n">
        <v>0.75026</v>
      </c>
      <c r="B26" s="12" t="n">
        <v>0</v>
      </c>
      <c r="C26" s="12" t="n">
        <v>8.14</v>
      </c>
      <c r="D26" s="13" t="n">
        <v>0</v>
      </c>
      <c r="E26" s="12" t="n">
        <v>0.538</v>
      </c>
      <c r="F26" s="12" t="n">
        <v>5.924</v>
      </c>
      <c r="G26" s="12" t="n">
        <v>94.1</v>
      </c>
      <c r="H26" s="12" t="n">
        <v>4.3996</v>
      </c>
      <c r="I26" s="12" t="n">
        <v>4</v>
      </c>
      <c r="J26" s="12" t="n">
        <v>307</v>
      </c>
      <c r="K26" s="12" t="n">
        <v>21</v>
      </c>
      <c r="L26" s="12" t="n">
        <v>394.33</v>
      </c>
      <c r="M26" s="12" t="n">
        <v>16.3</v>
      </c>
      <c r="N26" s="12" t="n">
        <v>15.6</v>
      </c>
    </row>
    <row r="27" customFormat="false" ht="15" hidden="false" customHeight="false" outlineLevel="0" collapsed="false">
      <c r="A27" s="14" t="n">
        <v>0.84054</v>
      </c>
      <c r="B27" s="14" t="n">
        <v>0</v>
      </c>
      <c r="C27" s="14" t="n">
        <v>8.14</v>
      </c>
      <c r="D27" s="15" t="n">
        <v>0</v>
      </c>
      <c r="E27" s="14" t="n">
        <v>0.538</v>
      </c>
      <c r="F27" s="14" t="n">
        <v>5.599</v>
      </c>
      <c r="G27" s="14" t="n">
        <v>85.7</v>
      </c>
      <c r="H27" s="14" t="n">
        <v>4.4546</v>
      </c>
      <c r="I27" s="14" t="n">
        <v>4</v>
      </c>
      <c r="J27" s="14" t="n">
        <v>307</v>
      </c>
      <c r="K27" s="14" t="n">
        <v>21</v>
      </c>
      <c r="L27" s="14" t="n">
        <v>303.42</v>
      </c>
      <c r="M27" s="14" t="n">
        <v>16.51</v>
      </c>
      <c r="N27" s="14" t="n">
        <v>13.9</v>
      </c>
    </row>
    <row r="28" customFormat="false" ht="15" hidden="false" customHeight="false" outlineLevel="0" collapsed="false">
      <c r="A28" s="12" t="n">
        <v>0.67191</v>
      </c>
      <c r="B28" s="12" t="n">
        <v>0</v>
      </c>
      <c r="C28" s="12" t="n">
        <v>8.14</v>
      </c>
      <c r="D28" s="13" t="n">
        <v>0</v>
      </c>
      <c r="E28" s="12" t="n">
        <v>0.538</v>
      </c>
      <c r="F28" s="12" t="n">
        <v>5.813</v>
      </c>
      <c r="G28" s="12" t="n">
        <v>90.3</v>
      </c>
      <c r="H28" s="12" t="n">
        <v>4.682</v>
      </c>
      <c r="I28" s="12" t="n">
        <v>4</v>
      </c>
      <c r="J28" s="12" t="n">
        <v>307</v>
      </c>
      <c r="K28" s="12" t="n">
        <v>21</v>
      </c>
      <c r="L28" s="12" t="n">
        <v>376.88</v>
      </c>
      <c r="M28" s="12" t="n">
        <v>14.81</v>
      </c>
      <c r="N28" s="12" t="n">
        <v>16.6</v>
      </c>
    </row>
    <row r="29" customFormat="false" ht="15" hidden="false" customHeight="false" outlineLevel="0" collapsed="false">
      <c r="A29" s="14" t="n">
        <v>0.95577</v>
      </c>
      <c r="B29" s="14" t="n">
        <v>0</v>
      </c>
      <c r="C29" s="14" t="n">
        <v>8.14</v>
      </c>
      <c r="D29" s="15" t="n">
        <v>0</v>
      </c>
      <c r="E29" s="14" t="n">
        <v>0.538</v>
      </c>
      <c r="F29" s="14" t="n">
        <v>6.047</v>
      </c>
      <c r="G29" s="14" t="n">
        <v>88.8</v>
      </c>
      <c r="H29" s="14" t="n">
        <v>4.4534</v>
      </c>
      <c r="I29" s="14" t="n">
        <v>4</v>
      </c>
      <c r="J29" s="14" t="n">
        <v>307</v>
      </c>
      <c r="K29" s="14" t="n">
        <v>21</v>
      </c>
      <c r="L29" s="14" t="n">
        <v>306.38</v>
      </c>
      <c r="M29" s="14" t="n">
        <v>17.28</v>
      </c>
      <c r="N29" s="14" t="n">
        <v>14.8</v>
      </c>
    </row>
    <row r="30" customFormat="false" ht="15" hidden="false" customHeight="false" outlineLevel="0" collapsed="false">
      <c r="A30" s="12" t="n">
        <v>0.77299</v>
      </c>
      <c r="B30" s="12" t="n">
        <v>0</v>
      </c>
      <c r="C30" s="12" t="n">
        <v>8.14</v>
      </c>
      <c r="D30" s="13" t="n">
        <v>0</v>
      </c>
      <c r="E30" s="12" t="n">
        <v>0.538</v>
      </c>
      <c r="F30" s="12" t="n">
        <v>6.495</v>
      </c>
      <c r="G30" s="12" t="n">
        <v>94.4</v>
      </c>
      <c r="H30" s="12" t="n">
        <v>4.4547</v>
      </c>
      <c r="I30" s="12" t="n">
        <v>4</v>
      </c>
      <c r="J30" s="12" t="n">
        <v>307</v>
      </c>
      <c r="K30" s="12" t="n">
        <v>21</v>
      </c>
      <c r="L30" s="12" t="n">
        <v>387.94</v>
      </c>
      <c r="M30" s="12" t="n">
        <v>12.8</v>
      </c>
      <c r="N30" s="12" t="n">
        <v>18.4</v>
      </c>
    </row>
    <row r="31" customFormat="false" ht="15" hidden="false" customHeight="false" outlineLevel="0" collapsed="false">
      <c r="A31" s="14" t="n">
        <v>1.00245</v>
      </c>
      <c r="B31" s="14" t="n">
        <v>0</v>
      </c>
      <c r="C31" s="14" t="n">
        <v>8.14</v>
      </c>
      <c r="D31" s="15" t="n">
        <v>0</v>
      </c>
      <c r="E31" s="14" t="n">
        <v>0.538</v>
      </c>
      <c r="F31" s="14" t="n">
        <v>6.674</v>
      </c>
      <c r="G31" s="14" t="n">
        <v>87.3</v>
      </c>
      <c r="H31" s="14" t="n">
        <v>4.239</v>
      </c>
      <c r="I31" s="14" t="n">
        <v>4</v>
      </c>
      <c r="J31" s="14" t="n">
        <v>307</v>
      </c>
      <c r="K31" s="14" t="n">
        <v>21</v>
      </c>
      <c r="L31" s="14" t="n">
        <v>380.23</v>
      </c>
      <c r="M31" s="14" t="n">
        <v>11.98</v>
      </c>
      <c r="N31" s="14" t="n">
        <v>21</v>
      </c>
    </row>
    <row r="32" customFormat="false" ht="15" hidden="false" customHeight="false" outlineLevel="0" collapsed="false">
      <c r="A32" s="12" t="n">
        <v>1.13081</v>
      </c>
      <c r="B32" s="12" t="n">
        <v>0</v>
      </c>
      <c r="C32" s="12" t="n">
        <v>8.14</v>
      </c>
      <c r="D32" s="13" t="n">
        <v>0</v>
      </c>
      <c r="E32" s="12" t="n">
        <v>0.538</v>
      </c>
      <c r="F32" s="12" t="n">
        <v>5.713</v>
      </c>
      <c r="G32" s="12" t="n">
        <v>94.1</v>
      </c>
      <c r="H32" s="12" t="n">
        <v>4.233</v>
      </c>
      <c r="I32" s="12" t="n">
        <v>4</v>
      </c>
      <c r="J32" s="12" t="n">
        <v>307</v>
      </c>
      <c r="K32" s="12" t="n">
        <v>21</v>
      </c>
      <c r="L32" s="12" t="n">
        <v>360.17</v>
      </c>
      <c r="M32" s="12" t="n">
        <v>22.6</v>
      </c>
      <c r="N32" s="12" t="n">
        <v>12.7</v>
      </c>
    </row>
    <row r="33" customFormat="false" ht="15" hidden="false" customHeight="false" outlineLevel="0" collapsed="false">
      <c r="A33" s="14" t="n">
        <v>1.35472</v>
      </c>
      <c r="B33" s="14" t="n">
        <v>0</v>
      </c>
      <c r="C33" s="14" t="n">
        <v>8.14</v>
      </c>
      <c r="D33" s="15" t="n">
        <v>0</v>
      </c>
      <c r="E33" s="14" t="n">
        <v>0.538</v>
      </c>
      <c r="F33" s="14" t="n">
        <v>6.072</v>
      </c>
      <c r="G33" s="14" t="n">
        <v>100</v>
      </c>
      <c r="H33" s="14" t="n">
        <v>4.175</v>
      </c>
      <c r="I33" s="14" t="n">
        <v>4</v>
      </c>
      <c r="J33" s="14" t="n">
        <v>307</v>
      </c>
      <c r="K33" s="14" t="n">
        <v>21</v>
      </c>
      <c r="L33" s="14" t="n">
        <v>376.73</v>
      </c>
      <c r="M33" s="14" t="n">
        <v>13.04</v>
      </c>
      <c r="N33" s="14" t="n">
        <v>14.5</v>
      </c>
    </row>
    <row r="34" customFormat="false" ht="15" hidden="false" customHeight="false" outlineLevel="0" collapsed="false">
      <c r="A34" s="12" t="n">
        <v>1.38799</v>
      </c>
      <c r="B34" s="12" t="n">
        <v>0</v>
      </c>
      <c r="C34" s="12" t="n">
        <v>8.14</v>
      </c>
      <c r="D34" s="13" t="n">
        <v>0</v>
      </c>
      <c r="E34" s="12" t="n">
        <v>0.538</v>
      </c>
      <c r="F34" s="12" t="n">
        <v>5.95</v>
      </c>
      <c r="G34" s="12" t="n">
        <v>82</v>
      </c>
      <c r="H34" s="12" t="n">
        <v>3.99</v>
      </c>
      <c r="I34" s="12" t="n">
        <v>4</v>
      </c>
      <c r="J34" s="12" t="n">
        <v>307</v>
      </c>
      <c r="K34" s="12" t="n">
        <v>21</v>
      </c>
      <c r="L34" s="12" t="n">
        <v>232.6</v>
      </c>
      <c r="M34" s="12" t="n">
        <v>27.71</v>
      </c>
      <c r="N34" s="12" t="n">
        <v>13.2</v>
      </c>
    </row>
    <row r="35" customFormat="false" ht="15" hidden="false" customHeight="false" outlineLevel="0" collapsed="false">
      <c r="A35" s="14" t="n">
        <v>1.15172</v>
      </c>
      <c r="B35" s="14" t="n">
        <v>0</v>
      </c>
      <c r="C35" s="14" t="n">
        <v>8.14</v>
      </c>
      <c r="D35" s="15" t="n">
        <v>0</v>
      </c>
      <c r="E35" s="14" t="n">
        <v>0.538</v>
      </c>
      <c r="F35" s="14" t="n">
        <v>5.701</v>
      </c>
      <c r="G35" s="14" t="n">
        <v>95</v>
      </c>
      <c r="H35" s="14" t="n">
        <v>3.7872</v>
      </c>
      <c r="I35" s="14" t="n">
        <v>4</v>
      </c>
      <c r="J35" s="14" t="n">
        <v>307</v>
      </c>
      <c r="K35" s="14" t="n">
        <v>21</v>
      </c>
      <c r="L35" s="14" t="n">
        <v>358.77</v>
      </c>
      <c r="M35" s="14" t="n">
        <v>18.35</v>
      </c>
      <c r="N35" s="14" t="n">
        <v>13.1</v>
      </c>
    </row>
    <row r="36" customFormat="false" ht="15" hidden="false" customHeight="false" outlineLevel="0" collapsed="false">
      <c r="A36" s="12" t="n">
        <v>1.61282</v>
      </c>
      <c r="B36" s="12" t="n">
        <v>0</v>
      </c>
      <c r="C36" s="12" t="n">
        <v>8.14</v>
      </c>
      <c r="D36" s="13" t="n">
        <v>0</v>
      </c>
      <c r="E36" s="12" t="n">
        <v>0.538</v>
      </c>
      <c r="F36" s="12" t="n">
        <v>6.096</v>
      </c>
      <c r="G36" s="12" t="n">
        <v>96.9</v>
      </c>
      <c r="H36" s="12" t="n">
        <v>3.7598</v>
      </c>
      <c r="I36" s="12" t="n">
        <v>4</v>
      </c>
      <c r="J36" s="12" t="n">
        <v>307</v>
      </c>
      <c r="K36" s="12" t="n">
        <v>21</v>
      </c>
      <c r="L36" s="12" t="n">
        <v>248.31</v>
      </c>
      <c r="M36" s="12" t="n">
        <v>20.34</v>
      </c>
      <c r="N36" s="12" t="n">
        <v>13.5</v>
      </c>
    </row>
    <row r="37" customFormat="false" ht="15" hidden="false" customHeight="false" outlineLevel="0" collapsed="false">
      <c r="A37" s="14" t="n">
        <v>0.06417</v>
      </c>
      <c r="B37" s="14" t="n">
        <v>0</v>
      </c>
      <c r="C37" s="14" t="n">
        <v>5.96</v>
      </c>
      <c r="D37" s="15" t="n">
        <v>0</v>
      </c>
      <c r="E37" s="14" t="n">
        <v>0.499</v>
      </c>
      <c r="F37" s="14" t="n">
        <v>5.933</v>
      </c>
      <c r="G37" s="14" t="n">
        <v>68.2</v>
      </c>
      <c r="H37" s="14" t="n">
        <v>3.3603</v>
      </c>
      <c r="I37" s="14" t="n">
        <v>5</v>
      </c>
      <c r="J37" s="14" t="n">
        <v>279</v>
      </c>
      <c r="K37" s="14" t="n">
        <v>19.2</v>
      </c>
      <c r="L37" s="14" t="n">
        <v>396.9</v>
      </c>
      <c r="M37" s="14" t="n">
        <v>9.68</v>
      </c>
      <c r="N37" s="14" t="n">
        <v>18.9</v>
      </c>
    </row>
    <row r="38" customFormat="false" ht="15" hidden="false" customHeight="false" outlineLevel="0" collapsed="false">
      <c r="A38" s="12" t="n">
        <v>0.09744</v>
      </c>
      <c r="B38" s="12" t="n">
        <v>0</v>
      </c>
      <c r="C38" s="12" t="n">
        <v>5.96</v>
      </c>
      <c r="D38" s="13" t="n">
        <v>0</v>
      </c>
      <c r="E38" s="12" t="n">
        <v>0.499</v>
      </c>
      <c r="F38" s="12" t="n">
        <v>5.841</v>
      </c>
      <c r="G38" s="12" t="n">
        <v>61.4</v>
      </c>
      <c r="H38" s="12" t="n">
        <v>3.3779</v>
      </c>
      <c r="I38" s="12" t="n">
        <v>5</v>
      </c>
      <c r="J38" s="12" t="n">
        <v>279</v>
      </c>
      <c r="K38" s="12" t="n">
        <v>19.2</v>
      </c>
      <c r="L38" s="12" t="n">
        <v>377.56</v>
      </c>
      <c r="M38" s="12" t="n">
        <v>11.41</v>
      </c>
      <c r="N38" s="12" t="n">
        <v>20</v>
      </c>
    </row>
    <row r="39" customFormat="false" ht="15" hidden="false" customHeight="false" outlineLevel="0" collapsed="false">
      <c r="A39" s="14" t="n">
        <v>0.08014</v>
      </c>
      <c r="B39" s="14" t="n">
        <v>0</v>
      </c>
      <c r="C39" s="14" t="n">
        <v>5.96</v>
      </c>
      <c r="D39" s="15" t="n">
        <v>0</v>
      </c>
      <c r="E39" s="14" t="n">
        <v>0.499</v>
      </c>
      <c r="F39" s="14" t="n">
        <v>5.85</v>
      </c>
      <c r="G39" s="14" t="n">
        <v>41.5</v>
      </c>
      <c r="H39" s="14" t="n">
        <v>3.9342</v>
      </c>
      <c r="I39" s="14" t="n">
        <v>5</v>
      </c>
      <c r="J39" s="14" t="n">
        <v>279</v>
      </c>
      <c r="K39" s="14" t="n">
        <v>19.2</v>
      </c>
      <c r="L39" s="14" t="n">
        <v>396.9</v>
      </c>
      <c r="M39" s="14" t="n">
        <v>8.77</v>
      </c>
      <c r="N39" s="14" t="n">
        <v>21</v>
      </c>
    </row>
    <row r="40" customFormat="false" ht="15" hidden="false" customHeight="false" outlineLevel="0" collapsed="false">
      <c r="A40" s="12" t="n">
        <v>0.17505</v>
      </c>
      <c r="B40" s="12" t="n">
        <v>0</v>
      </c>
      <c r="C40" s="12" t="n">
        <v>5.96</v>
      </c>
      <c r="D40" s="13" t="n">
        <v>0</v>
      </c>
      <c r="E40" s="12" t="n">
        <v>0.499</v>
      </c>
      <c r="F40" s="12" t="n">
        <v>5.966</v>
      </c>
      <c r="G40" s="12" t="n">
        <v>30.2</v>
      </c>
      <c r="H40" s="12" t="n">
        <v>3.8473</v>
      </c>
      <c r="I40" s="12" t="n">
        <v>5</v>
      </c>
      <c r="J40" s="12" t="n">
        <v>279</v>
      </c>
      <c r="K40" s="12" t="n">
        <v>19.2</v>
      </c>
      <c r="L40" s="12" t="n">
        <v>393.43</v>
      </c>
      <c r="M40" s="12" t="n">
        <v>10.13</v>
      </c>
      <c r="N40" s="12" t="n">
        <v>24.7</v>
      </c>
    </row>
    <row r="41" customFormat="false" ht="15" hidden="false" customHeight="false" outlineLevel="0" collapsed="false">
      <c r="A41" s="14" t="n">
        <v>0.02763</v>
      </c>
      <c r="B41" s="14" t="n">
        <v>75</v>
      </c>
      <c r="C41" s="14" t="n">
        <v>2.95</v>
      </c>
      <c r="D41" s="15" t="n">
        <v>0</v>
      </c>
      <c r="E41" s="14" t="n">
        <v>0.428</v>
      </c>
      <c r="F41" s="14" t="n">
        <v>6.595</v>
      </c>
      <c r="G41" s="14" t="n">
        <v>21.8</v>
      </c>
      <c r="H41" s="14" t="n">
        <v>5.4011</v>
      </c>
      <c r="I41" s="14" t="n">
        <v>3</v>
      </c>
      <c r="J41" s="14" t="n">
        <v>252</v>
      </c>
      <c r="K41" s="14" t="n">
        <v>18.3</v>
      </c>
      <c r="L41" s="14" t="n">
        <v>395.63</v>
      </c>
      <c r="M41" s="14" t="n">
        <v>4.32</v>
      </c>
      <c r="N41" s="14" t="n">
        <v>30.8</v>
      </c>
    </row>
    <row r="42" customFormat="false" ht="15" hidden="false" customHeight="false" outlineLevel="0" collapsed="false">
      <c r="A42" s="12" t="n">
        <v>0.03359</v>
      </c>
      <c r="B42" s="12" t="n">
        <v>75</v>
      </c>
      <c r="C42" s="12" t="n">
        <v>2.95</v>
      </c>
      <c r="D42" s="13" t="n">
        <v>0</v>
      </c>
      <c r="E42" s="12" t="n">
        <v>0.428</v>
      </c>
      <c r="F42" s="12" t="n">
        <v>7.024</v>
      </c>
      <c r="G42" s="12" t="n">
        <v>15.8</v>
      </c>
      <c r="H42" s="12" t="n">
        <v>5.4011</v>
      </c>
      <c r="I42" s="12" t="n">
        <v>3</v>
      </c>
      <c r="J42" s="12" t="n">
        <v>252</v>
      </c>
      <c r="K42" s="12" t="n">
        <v>18.3</v>
      </c>
      <c r="L42" s="12" t="n">
        <v>395.62</v>
      </c>
      <c r="M42" s="12" t="n">
        <v>1.98</v>
      </c>
      <c r="N42" s="12" t="n">
        <v>34.9</v>
      </c>
    </row>
    <row r="43" customFormat="false" ht="15" hidden="false" customHeight="false" outlineLevel="0" collapsed="false">
      <c r="A43" s="14" t="n">
        <v>0.12744</v>
      </c>
      <c r="B43" s="14" t="n">
        <v>0</v>
      </c>
      <c r="C43" s="14" t="n">
        <v>6.91</v>
      </c>
      <c r="D43" s="15" t="n">
        <v>0</v>
      </c>
      <c r="E43" s="14" t="n">
        <v>0.448</v>
      </c>
      <c r="F43" s="14" t="n">
        <v>6.77</v>
      </c>
      <c r="G43" s="14" t="n">
        <v>2.9</v>
      </c>
      <c r="H43" s="14" t="n">
        <v>5.7209</v>
      </c>
      <c r="I43" s="14" t="n">
        <v>3</v>
      </c>
      <c r="J43" s="14" t="n">
        <v>233</v>
      </c>
      <c r="K43" s="14" t="n">
        <v>17.9</v>
      </c>
      <c r="L43" s="14" t="n">
        <v>385.41</v>
      </c>
      <c r="M43" s="14" t="n">
        <v>4.84</v>
      </c>
      <c r="N43" s="14" t="n">
        <v>26.6</v>
      </c>
    </row>
    <row r="44" customFormat="false" ht="15" hidden="false" customHeight="false" outlineLevel="0" collapsed="false">
      <c r="A44" s="12" t="n">
        <v>0.1415</v>
      </c>
      <c r="B44" s="12" t="n">
        <v>0</v>
      </c>
      <c r="C44" s="12" t="n">
        <v>6.91</v>
      </c>
      <c r="D44" s="13" t="n">
        <v>0</v>
      </c>
      <c r="E44" s="12" t="n">
        <v>0.448</v>
      </c>
      <c r="F44" s="12" t="n">
        <v>6.169</v>
      </c>
      <c r="G44" s="12" t="n">
        <v>6.6</v>
      </c>
      <c r="H44" s="12" t="n">
        <v>5.7209</v>
      </c>
      <c r="I44" s="12" t="n">
        <v>3</v>
      </c>
      <c r="J44" s="12" t="n">
        <v>233</v>
      </c>
      <c r="K44" s="12" t="n">
        <v>17.9</v>
      </c>
      <c r="L44" s="12" t="n">
        <v>383.37</v>
      </c>
      <c r="M44" s="12" t="n">
        <v>5.81</v>
      </c>
      <c r="N44" s="12" t="n">
        <v>25.3</v>
      </c>
    </row>
    <row r="45" customFormat="false" ht="15" hidden="false" customHeight="false" outlineLevel="0" collapsed="false">
      <c r="A45" s="14" t="n">
        <v>0.15936</v>
      </c>
      <c r="B45" s="14" t="n">
        <v>0</v>
      </c>
      <c r="C45" s="14" t="n">
        <v>6.91</v>
      </c>
      <c r="D45" s="15" t="n">
        <v>0</v>
      </c>
      <c r="E45" s="14" t="n">
        <v>0.448</v>
      </c>
      <c r="F45" s="14" t="n">
        <v>6.211</v>
      </c>
      <c r="G45" s="14" t="n">
        <v>6.5</v>
      </c>
      <c r="H45" s="14" t="n">
        <v>5.7209</v>
      </c>
      <c r="I45" s="14" t="n">
        <v>3</v>
      </c>
      <c r="J45" s="14" t="n">
        <v>233</v>
      </c>
      <c r="K45" s="14" t="n">
        <v>17.9</v>
      </c>
      <c r="L45" s="14" t="n">
        <v>394.46</v>
      </c>
      <c r="M45" s="14" t="n">
        <v>7.44</v>
      </c>
      <c r="N45" s="14" t="n">
        <v>24.7</v>
      </c>
    </row>
    <row r="46" customFormat="false" ht="15" hidden="false" customHeight="false" outlineLevel="0" collapsed="false">
      <c r="A46" s="12" t="n">
        <v>0.12269</v>
      </c>
      <c r="B46" s="12" t="n">
        <v>0</v>
      </c>
      <c r="C46" s="12" t="n">
        <v>6.91</v>
      </c>
      <c r="D46" s="13" t="n">
        <v>0</v>
      </c>
      <c r="E46" s="12" t="n">
        <v>0.448</v>
      </c>
      <c r="F46" s="12" t="n">
        <v>6.069</v>
      </c>
      <c r="G46" s="12" t="n">
        <v>40</v>
      </c>
      <c r="H46" s="12" t="n">
        <v>5.7209</v>
      </c>
      <c r="I46" s="12" t="n">
        <v>3</v>
      </c>
      <c r="J46" s="12" t="n">
        <v>233</v>
      </c>
      <c r="K46" s="12" t="n">
        <v>17.9</v>
      </c>
      <c r="L46" s="12" t="n">
        <v>389.39</v>
      </c>
      <c r="M46" s="12" t="n">
        <v>9.55</v>
      </c>
      <c r="N46" s="12" t="n">
        <v>21.2</v>
      </c>
    </row>
    <row r="47" customFormat="false" ht="15" hidden="false" customHeight="false" outlineLevel="0" collapsed="false">
      <c r="A47" s="14" t="n">
        <v>0.17142</v>
      </c>
      <c r="B47" s="14" t="n">
        <v>0</v>
      </c>
      <c r="C47" s="14" t="n">
        <v>6.91</v>
      </c>
      <c r="D47" s="15" t="n">
        <v>0</v>
      </c>
      <c r="E47" s="14" t="n">
        <v>0.448</v>
      </c>
      <c r="F47" s="14" t="n">
        <v>5.682</v>
      </c>
      <c r="G47" s="14" t="n">
        <v>33.8</v>
      </c>
      <c r="H47" s="14" t="n">
        <v>5.1004</v>
      </c>
      <c r="I47" s="14" t="n">
        <v>3</v>
      </c>
      <c r="J47" s="14" t="n">
        <v>233</v>
      </c>
      <c r="K47" s="14" t="n">
        <v>17.9</v>
      </c>
      <c r="L47" s="14" t="n">
        <v>396.9</v>
      </c>
      <c r="M47" s="14" t="n">
        <v>10.21</v>
      </c>
      <c r="N47" s="14" t="n">
        <v>19.3</v>
      </c>
    </row>
    <row r="48" customFormat="false" ht="15" hidden="false" customHeight="false" outlineLevel="0" collapsed="false">
      <c r="A48" s="12" t="n">
        <v>0.18836</v>
      </c>
      <c r="B48" s="12" t="n">
        <v>0</v>
      </c>
      <c r="C48" s="12" t="n">
        <v>6.91</v>
      </c>
      <c r="D48" s="13" t="n">
        <v>0</v>
      </c>
      <c r="E48" s="12" t="n">
        <v>0.448</v>
      </c>
      <c r="F48" s="12" t="n">
        <v>5.786</v>
      </c>
      <c r="G48" s="12" t="n">
        <v>33.3</v>
      </c>
      <c r="H48" s="12" t="n">
        <v>5.1004</v>
      </c>
      <c r="I48" s="12" t="n">
        <v>3</v>
      </c>
      <c r="J48" s="12" t="n">
        <v>233</v>
      </c>
      <c r="K48" s="12" t="n">
        <v>17.9</v>
      </c>
      <c r="L48" s="12" t="n">
        <v>396.9</v>
      </c>
      <c r="M48" s="12" t="n">
        <v>14.15</v>
      </c>
      <c r="N48" s="12" t="n">
        <v>20</v>
      </c>
    </row>
    <row r="49" customFormat="false" ht="15" hidden="false" customHeight="false" outlineLevel="0" collapsed="false">
      <c r="A49" s="14" t="n">
        <v>0.22927</v>
      </c>
      <c r="B49" s="14" t="n">
        <v>0</v>
      </c>
      <c r="C49" s="14" t="n">
        <v>6.91</v>
      </c>
      <c r="D49" s="15" t="n">
        <v>0</v>
      </c>
      <c r="E49" s="14" t="n">
        <v>0.448</v>
      </c>
      <c r="F49" s="14" t="n">
        <v>6.03</v>
      </c>
      <c r="G49" s="14" t="n">
        <v>85.5</v>
      </c>
      <c r="H49" s="14" t="n">
        <v>5.6894</v>
      </c>
      <c r="I49" s="14" t="n">
        <v>3</v>
      </c>
      <c r="J49" s="14" t="n">
        <v>233</v>
      </c>
      <c r="K49" s="14" t="n">
        <v>17.9</v>
      </c>
      <c r="L49" s="14" t="n">
        <v>392.74</v>
      </c>
      <c r="M49" s="14" t="n">
        <v>18.8</v>
      </c>
      <c r="N49" s="14" t="n">
        <v>16.6</v>
      </c>
    </row>
    <row r="50" customFormat="false" ht="15" hidden="false" customHeight="false" outlineLevel="0" collapsed="false">
      <c r="A50" s="12" t="n">
        <v>0.25387</v>
      </c>
      <c r="B50" s="12" t="n">
        <v>0</v>
      </c>
      <c r="C50" s="12" t="n">
        <v>6.91</v>
      </c>
      <c r="D50" s="13" t="n">
        <v>0</v>
      </c>
      <c r="E50" s="12" t="n">
        <v>0.448</v>
      </c>
      <c r="F50" s="12" t="n">
        <v>5.399</v>
      </c>
      <c r="G50" s="12" t="n">
        <v>95.3</v>
      </c>
      <c r="H50" s="12" t="n">
        <v>5.87</v>
      </c>
      <c r="I50" s="12" t="n">
        <v>3</v>
      </c>
      <c r="J50" s="12" t="n">
        <v>233</v>
      </c>
      <c r="K50" s="12" t="n">
        <v>17.9</v>
      </c>
      <c r="L50" s="12" t="n">
        <v>396.9</v>
      </c>
      <c r="M50" s="12" t="n">
        <v>30.81</v>
      </c>
      <c r="N50" s="12" t="n">
        <v>14.4</v>
      </c>
    </row>
    <row r="51" customFormat="false" ht="15" hidden="false" customHeight="false" outlineLevel="0" collapsed="false">
      <c r="A51" s="14" t="n">
        <v>0.21977</v>
      </c>
      <c r="B51" s="14" t="n">
        <v>0</v>
      </c>
      <c r="C51" s="14" t="n">
        <v>6.91</v>
      </c>
      <c r="D51" s="15" t="n">
        <v>0</v>
      </c>
      <c r="E51" s="14" t="n">
        <v>0.448</v>
      </c>
      <c r="F51" s="14" t="n">
        <v>5.602</v>
      </c>
      <c r="G51" s="14" t="n">
        <v>62</v>
      </c>
      <c r="H51" s="14" t="n">
        <v>6.0877</v>
      </c>
      <c r="I51" s="14" t="n">
        <v>3</v>
      </c>
      <c r="J51" s="14" t="n">
        <v>233</v>
      </c>
      <c r="K51" s="14" t="n">
        <v>17.9</v>
      </c>
      <c r="L51" s="14" t="n">
        <v>396.9</v>
      </c>
      <c r="M51" s="14" t="n">
        <v>16.2</v>
      </c>
      <c r="N51" s="14" t="n">
        <v>19.4</v>
      </c>
    </row>
    <row r="52" customFormat="false" ht="15" hidden="false" customHeight="false" outlineLevel="0" collapsed="false">
      <c r="A52" s="12" t="n">
        <v>0.08873</v>
      </c>
      <c r="B52" s="12" t="n">
        <v>21</v>
      </c>
      <c r="C52" s="12" t="n">
        <v>5.64</v>
      </c>
      <c r="D52" s="13" t="n">
        <v>0</v>
      </c>
      <c r="E52" s="12" t="n">
        <v>0.439</v>
      </c>
      <c r="F52" s="12" t="n">
        <v>5.963</v>
      </c>
      <c r="G52" s="12" t="n">
        <v>45.7</v>
      </c>
      <c r="H52" s="12" t="n">
        <v>6.8147</v>
      </c>
      <c r="I52" s="12" t="n">
        <v>4</v>
      </c>
      <c r="J52" s="12" t="n">
        <v>243</v>
      </c>
      <c r="K52" s="12" t="n">
        <v>16.8</v>
      </c>
      <c r="L52" s="12" t="n">
        <v>395.56</v>
      </c>
      <c r="M52" s="12" t="n">
        <v>13.45</v>
      </c>
      <c r="N52" s="12" t="n">
        <v>19.7</v>
      </c>
    </row>
    <row r="53" customFormat="false" ht="15" hidden="false" customHeight="false" outlineLevel="0" collapsed="false">
      <c r="A53" s="14" t="n">
        <v>0.04337</v>
      </c>
      <c r="B53" s="14" t="n">
        <v>21</v>
      </c>
      <c r="C53" s="14" t="n">
        <v>5.64</v>
      </c>
      <c r="D53" s="15" t="n">
        <v>0</v>
      </c>
      <c r="E53" s="14" t="n">
        <v>0.439</v>
      </c>
      <c r="F53" s="14" t="n">
        <v>6.115</v>
      </c>
      <c r="G53" s="14" t="n">
        <v>63</v>
      </c>
      <c r="H53" s="14" t="n">
        <v>6.8147</v>
      </c>
      <c r="I53" s="14" t="n">
        <v>4</v>
      </c>
      <c r="J53" s="14" t="n">
        <v>243</v>
      </c>
      <c r="K53" s="14" t="n">
        <v>16.8</v>
      </c>
      <c r="L53" s="14" t="n">
        <v>393.97</v>
      </c>
      <c r="M53" s="14" t="n">
        <v>9.43</v>
      </c>
      <c r="N53" s="14" t="n">
        <v>20.5</v>
      </c>
    </row>
    <row r="54" customFormat="false" ht="15" hidden="false" customHeight="false" outlineLevel="0" collapsed="false">
      <c r="A54" s="12" t="n">
        <v>0.0536</v>
      </c>
      <c r="B54" s="12" t="n">
        <v>21</v>
      </c>
      <c r="C54" s="12" t="n">
        <v>5.64</v>
      </c>
      <c r="D54" s="13" t="n">
        <v>0</v>
      </c>
      <c r="E54" s="12" t="n">
        <v>0.439</v>
      </c>
      <c r="F54" s="12" t="n">
        <v>6.511</v>
      </c>
      <c r="G54" s="12" t="n">
        <v>21.1</v>
      </c>
      <c r="H54" s="12" t="n">
        <v>6.8147</v>
      </c>
      <c r="I54" s="12" t="n">
        <v>4</v>
      </c>
      <c r="J54" s="12" t="n">
        <v>243</v>
      </c>
      <c r="K54" s="12" t="n">
        <v>16.8</v>
      </c>
      <c r="L54" s="12" t="n">
        <v>396.9</v>
      </c>
      <c r="M54" s="12" t="n">
        <v>5.28</v>
      </c>
      <c r="N54" s="12" t="n">
        <v>25</v>
      </c>
    </row>
    <row r="55" customFormat="false" ht="15" hidden="false" customHeight="false" outlineLevel="0" collapsed="false">
      <c r="A55" s="14" t="n">
        <v>0.04981</v>
      </c>
      <c r="B55" s="14" t="n">
        <v>21</v>
      </c>
      <c r="C55" s="14" t="n">
        <v>5.64</v>
      </c>
      <c r="D55" s="15" t="n">
        <v>0</v>
      </c>
      <c r="E55" s="14" t="n">
        <v>0.439</v>
      </c>
      <c r="F55" s="14" t="n">
        <v>5.998</v>
      </c>
      <c r="G55" s="14" t="n">
        <v>21.4</v>
      </c>
      <c r="H55" s="14" t="n">
        <v>6.8147</v>
      </c>
      <c r="I55" s="14" t="n">
        <v>4</v>
      </c>
      <c r="J55" s="14" t="n">
        <v>243</v>
      </c>
      <c r="K55" s="14" t="n">
        <v>16.8</v>
      </c>
      <c r="L55" s="14" t="n">
        <v>396.9</v>
      </c>
      <c r="M55" s="14" t="n">
        <v>8.43</v>
      </c>
      <c r="N55" s="14" t="n">
        <v>23.4</v>
      </c>
    </row>
    <row r="56" customFormat="false" ht="15" hidden="false" customHeight="false" outlineLevel="0" collapsed="false">
      <c r="A56" s="12" t="n">
        <v>0.0136</v>
      </c>
      <c r="B56" s="12" t="n">
        <v>75</v>
      </c>
      <c r="C56" s="12" t="n">
        <v>4</v>
      </c>
      <c r="D56" s="13" t="n">
        <v>0</v>
      </c>
      <c r="E56" s="12" t="n">
        <v>0.41</v>
      </c>
      <c r="F56" s="12" t="n">
        <v>5.888</v>
      </c>
      <c r="G56" s="12" t="n">
        <v>47.6</v>
      </c>
      <c r="H56" s="12" t="n">
        <v>7.3197</v>
      </c>
      <c r="I56" s="12" t="n">
        <v>3</v>
      </c>
      <c r="J56" s="12" t="n">
        <v>469</v>
      </c>
      <c r="K56" s="12" t="n">
        <v>21.1</v>
      </c>
      <c r="L56" s="12" t="n">
        <v>396.9</v>
      </c>
      <c r="M56" s="12" t="n">
        <v>14.8</v>
      </c>
      <c r="N56" s="12" t="n">
        <v>18.9</v>
      </c>
    </row>
    <row r="57" customFormat="false" ht="15" hidden="false" customHeight="false" outlineLevel="0" collapsed="false">
      <c r="A57" s="14" t="n">
        <v>0.01311</v>
      </c>
      <c r="B57" s="14" t="n">
        <v>90</v>
      </c>
      <c r="C57" s="14" t="n">
        <v>1.22</v>
      </c>
      <c r="D57" s="15" t="n">
        <v>0</v>
      </c>
      <c r="E57" s="14" t="n">
        <v>0.403</v>
      </c>
      <c r="F57" s="14" t="n">
        <v>7.249</v>
      </c>
      <c r="G57" s="14" t="n">
        <v>21.9</v>
      </c>
      <c r="H57" s="14" t="n">
        <v>8.6966</v>
      </c>
      <c r="I57" s="14" t="n">
        <v>5</v>
      </c>
      <c r="J57" s="14" t="n">
        <v>226</v>
      </c>
      <c r="K57" s="14" t="n">
        <v>17.9</v>
      </c>
      <c r="L57" s="14" t="n">
        <v>395.93</v>
      </c>
      <c r="M57" s="14" t="n">
        <v>4.81</v>
      </c>
      <c r="N57" s="14" t="n">
        <v>35.4</v>
      </c>
    </row>
    <row r="58" customFormat="false" ht="15" hidden="false" customHeight="false" outlineLevel="0" collapsed="false">
      <c r="A58" s="12" t="n">
        <v>0.02055</v>
      </c>
      <c r="B58" s="12" t="n">
        <v>85</v>
      </c>
      <c r="C58" s="12" t="n">
        <v>0.74</v>
      </c>
      <c r="D58" s="13" t="n">
        <v>0</v>
      </c>
      <c r="E58" s="12" t="n">
        <v>0.41</v>
      </c>
      <c r="F58" s="12" t="n">
        <v>6.383</v>
      </c>
      <c r="G58" s="12" t="n">
        <v>35.7</v>
      </c>
      <c r="H58" s="12" t="n">
        <v>9.1876</v>
      </c>
      <c r="I58" s="12" t="n">
        <v>2</v>
      </c>
      <c r="J58" s="12" t="n">
        <v>313</v>
      </c>
      <c r="K58" s="12" t="n">
        <v>17.3</v>
      </c>
      <c r="L58" s="12" t="n">
        <v>396.9</v>
      </c>
      <c r="M58" s="12" t="n">
        <v>5.77</v>
      </c>
      <c r="N58" s="12" t="n">
        <v>24.7</v>
      </c>
    </row>
    <row r="59" customFormat="false" ht="15" hidden="false" customHeight="false" outlineLevel="0" collapsed="false">
      <c r="A59" s="14" t="n">
        <v>0.01432</v>
      </c>
      <c r="B59" s="14" t="n">
        <v>100</v>
      </c>
      <c r="C59" s="14" t="n">
        <v>1.32</v>
      </c>
      <c r="D59" s="15" t="n">
        <v>0</v>
      </c>
      <c r="E59" s="14" t="n">
        <v>0.411</v>
      </c>
      <c r="F59" s="14" t="n">
        <v>6.816</v>
      </c>
      <c r="G59" s="14" t="n">
        <v>40.5</v>
      </c>
      <c r="H59" s="14" t="n">
        <v>8.3248</v>
      </c>
      <c r="I59" s="14" t="n">
        <v>5</v>
      </c>
      <c r="J59" s="14" t="n">
        <v>256</v>
      </c>
      <c r="K59" s="14" t="n">
        <v>15.1</v>
      </c>
      <c r="L59" s="14" t="n">
        <v>392.9</v>
      </c>
      <c r="M59" s="14" t="n">
        <v>3.95</v>
      </c>
      <c r="N59" s="14" t="n">
        <v>31.6</v>
      </c>
    </row>
    <row r="60" customFormat="false" ht="15" hidden="false" customHeight="false" outlineLevel="0" collapsed="false">
      <c r="A60" s="12" t="n">
        <v>0.15445</v>
      </c>
      <c r="B60" s="12" t="n">
        <v>25</v>
      </c>
      <c r="C60" s="12" t="n">
        <v>5.13</v>
      </c>
      <c r="D60" s="13" t="n">
        <v>0</v>
      </c>
      <c r="E60" s="12" t="n">
        <v>0.453</v>
      </c>
      <c r="F60" s="12" t="n">
        <v>6.145</v>
      </c>
      <c r="G60" s="12" t="n">
        <v>29.2</v>
      </c>
      <c r="H60" s="12" t="n">
        <v>7.8148</v>
      </c>
      <c r="I60" s="12" t="n">
        <v>8</v>
      </c>
      <c r="J60" s="12" t="n">
        <v>284</v>
      </c>
      <c r="K60" s="12" t="n">
        <v>19.7</v>
      </c>
      <c r="L60" s="12" t="n">
        <v>390.68</v>
      </c>
      <c r="M60" s="12" t="n">
        <v>6.86</v>
      </c>
      <c r="N60" s="12" t="n">
        <v>23.3</v>
      </c>
    </row>
    <row r="61" customFormat="false" ht="15" hidden="false" customHeight="false" outlineLevel="0" collapsed="false">
      <c r="A61" s="14" t="n">
        <v>0.10328</v>
      </c>
      <c r="B61" s="14" t="n">
        <v>25</v>
      </c>
      <c r="C61" s="14" t="n">
        <v>5.13</v>
      </c>
      <c r="D61" s="15" t="n">
        <v>0</v>
      </c>
      <c r="E61" s="14" t="n">
        <v>0.453</v>
      </c>
      <c r="F61" s="14" t="n">
        <v>5.927</v>
      </c>
      <c r="G61" s="14" t="n">
        <v>47.2</v>
      </c>
      <c r="H61" s="14" t="n">
        <v>6.932</v>
      </c>
      <c r="I61" s="14" t="n">
        <v>8</v>
      </c>
      <c r="J61" s="14" t="n">
        <v>284</v>
      </c>
      <c r="K61" s="14" t="n">
        <v>19.7</v>
      </c>
      <c r="L61" s="14" t="n">
        <v>396.9</v>
      </c>
      <c r="M61" s="14" t="n">
        <v>9.22</v>
      </c>
      <c r="N61" s="14" t="n">
        <v>19.6</v>
      </c>
    </row>
    <row r="62" customFormat="false" ht="15" hidden="false" customHeight="false" outlineLevel="0" collapsed="false">
      <c r="A62" s="12" t="n">
        <v>0.14932</v>
      </c>
      <c r="B62" s="12" t="n">
        <v>25</v>
      </c>
      <c r="C62" s="12" t="n">
        <v>5.13</v>
      </c>
      <c r="D62" s="13" t="n">
        <v>0</v>
      </c>
      <c r="E62" s="12" t="n">
        <v>0.453</v>
      </c>
      <c r="F62" s="12" t="n">
        <v>5.741</v>
      </c>
      <c r="G62" s="12" t="n">
        <v>66.2</v>
      </c>
      <c r="H62" s="12" t="n">
        <v>7.2254</v>
      </c>
      <c r="I62" s="12" t="n">
        <v>8</v>
      </c>
      <c r="J62" s="12" t="n">
        <v>284</v>
      </c>
      <c r="K62" s="12" t="n">
        <v>19.7</v>
      </c>
      <c r="L62" s="12" t="n">
        <v>395.11</v>
      </c>
      <c r="M62" s="12" t="n">
        <v>13.15</v>
      </c>
      <c r="N62" s="12" t="n">
        <v>18.7</v>
      </c>
    </row>
    <row r="63" customFormat="false" ht="15" hidden="false" customHeight="false" outlineLevel="0" collapsed="false">
      <c r="A63" s="14" t="n">
        <v>0.17171</v>
      </c>
      <c r="B63" s="14" t="n">
        <v>25</v>
      </c>
      <c r="C63" s="14" t="n">
        <v>5.13</v>
      </c>
      <c r="D63" s="15" t="n">
        <v>0</v>
      </c>
      <c r="E63" s="14" t="n">
        <v>0.453</v>
      </c>
      <c r="F63" s="14" t="n">
        <v>5.966</v>
      </c>
      <c r="G63" s="14" t="n">
        <v>93.4</v>
      </c>
      <c r="H63" s="14" t="n">
        <v>6.8185</v>
      </c>
      <c r="I63" s="14" t="n">
        <v>8</v>
      </c>
      <c r="J63" s="14" t="n">
        <v>284</v>
      </c>
      <c r="K63" s="14" t="n">
        <v>19.7</v>
      </c>
      <c r="L63" s="14" t="n">
        <v>378.08</v>
      </c>
      <c r="M63" s="14" t="n">
        <v>14.44</v>
      </c>
      <c r="N63" s="14" t="n">
        <v>16</v>
      </c>
    </row>
    <row r="64" customFormat="false" ht="15" hidden="false" customHeight="false" outlineLevel="0" collapsed="false">
      <c r="A64" s="12" t="n">
        <v>0.11027</v>
      </c>
      <c r="B64" s="12" t="n">
        <v>25</v>
      </c>
      <c r="C64" s="12" t="n">
        <v>5.13</v>
      </c>
      <c r="D64" s="13" t="n">
        <v>0</v>
      </c>
      <c r="E64" s="12" t="n">
        <v>0.453</v>
      </c>
      <c r="F64" s="12" t="n">
        <v>6.456</v>
      </c>
      <c r="G64" s="12" t="n">
        <v>67.8</v>
      </c>
      <c r="H64" s="12" t="n">
        <v>7.2255</v>
      </c>
      <c r="I64" s="12" t="n">
        <v>8</v>
      </c>
      <c r="J64" s="12" t="n">
        <v>284</v>
      </c>
      <c r="K64" s="12" t="n">
        <v>19.7</v>
      </c>
      <c r="L64" s="12" t="n">
        <v>396.9</v>
      </c>
      <c r="M64" s="12" t="n">
        <v>6.73</v>
      </c>
      <c r="N64" s="12" t="n">
        <v>22.2</v>
      </c>
    </row>
    <row r="65" customFormat="false" ht="15" hidden="false" customHeight="false" outlineLevel="0" collapsed="false">
      <c r="A65" s="14" t="n">
        <v>0.1265</v>
      </c>
      <c r="B65" s="14" t="n">
        <v>25</v>
      </c>
      <c r="C65" s="14" t="n">
        <v>5.13</v>
      </c>
      <c r="D65" s="15" t="n">
        <v>0</v>
      </c>
      <c r="E65" s="14" t="n">
        <v>0.453</v>
      </c>
      <c r="F65" s="14" t="n">
        <v>6.762</v>
      </c>
      <c r="G65" s="14" t="n">
        <v>43.4</v>
      </c>
      <c r="H65" s="14" t="n">
        <v>7.9809</v>
      </c>
      <c r="I65" s="14" t="n">
        <v>8</v>
      </c>
      <c r="J65" s="14" t="n">
        <v>284</v>
      </c>
      <c r="K65" s="14" t="n">
        <v>19.7</v>
      </c>
      <c r="L65" s="14" t="n">
        <v>395.58</v>
      </c>
      <c r="M65" s="14" t="n">
        <v>9.5</v>
      </c>
      <c r="N65" s="14" t="n">
        <v>25</v>
      </c>
    </row>
    <row r="66" customFormat="false" ht="15" hidden="false" customHeight="false" outlineLevel="0" collapsed="false">
      <c r="A66" s="12" t="n">
        <v>0.01951</v>
      </c>
      <c r="B66" s="12" t="n">
        <v>17.5</v>
      </c>
      <c r="C66" s="12" t="n">
        <v>1.38</v>
      </c>
      <c r="D66" s="13" t="n">
        <v>0</v>
      </c>
      <c r="E66" s="12" t="n">
        <v>0.4161</v>
      </c>
      <c r="F66" s="12" t="n">
        <v>7.104</v>
      </c>
      <c r="G66" s="12" t="n">
        <v>59.5</v>
      </c>
      <c r="H66" s="12" t="n">
        <v>9.2229</v>
      </c>
      <c r="I66" s="12" t="n">
        <v>3</v>
      </c>
      <c r="J66" s="12" t="n">
        <v>216</v>
      </c>
      <c r="K66" s="12" t="n">
        <v>18.6</v>
      </c>
      <c r="L66" s="12" t="n">
        <v>393.24</v>
      </c>
      <c r="M66" s="12" t="n">
        <v>8.05</v>
      </c>
      <c r="N66" s="12" t="n">
        <v>33</v>
      </c>
    </row>
    <row r="67" customFormat="false" ht="15" hidden="false" customHeight="false" outlineLevel="0" collapsed="false">
      <c r="A67" s="14" t="n">
        <v>0.03584</v>
      </c>
      <c r="B67" s="14" t="n">
        <v>80</v>
      </c>
      <c r="C67" s="14" t="n">
        <v>3.37</v>
      </c>
      <c r="D67" s="15" t="n">
        <v>0</v>
      </c>
      <c r="E67" s="14" t="n">
        <v>0.398</v>
      </c>
      <c r="F67" s="14" t="n">
        <v>6.29</v>
      </c>
      <c r="G67" s="14" t="n">
        <v>17.8</v>
      </c>
      <c r="H67" s="14" t="n">
        <v>6.6115</v>
      </c>
      <c r="I67" s="14" t="n">
        <v>4</v>
      </c>
      <c r="J67" s="14" t="n">
        <v>337</v>
      </c>
      <c r="K67" s="14" t="n">
        <v>16.1</v>
      </c>
      <c r="L67" s="14" t="n">
        <v>396.9</v>
      </c>
      <c r="M67" s="14" t="n">
        <v>4.67</v>
      </c>
      <c r="N67" s="14" t="n">
        <v>23.5</v>
      </c>
    </row>
    <row r="68" customFormat="false" ht="15" hidden="false" customHeight="false" outlineLevel="0" collapsed="false">
      <c r="A68" s="12" t="n">
        <v>0.04379</v>
      </c>
      <c r="B68" s="12" t="n">
        <v>80</v>
      </c>
      <c r="C68" s="12" t="n">
        <v>3.37</v>
      </c>
      <c r="D68" s="13" t="n">
        <v>0</v>
      </c>
      <c r="E68" s="12" t="n">
        <v>0.398</v>
      </c>
      <c r="F68" s="12" t="n">
        <v>5.787</v>
      </c>
      <c r="G68" s="12" t="n">
        <v>31.1</v>
      </c>
      <c r="H68" s="12" t="n">
        <v>6.6115</v>
      </c>
      <c r="I68" s="12" t="n">
        <v>4</v>
      </c>
      <c r="J68" s="12" t="n">
        <v>337</v>
      </c>
      <c r="K68" s="12" t="n">
        <v>16.1</v>
      </c>
      <c r="L68" s="12" t="n">
        <v>396.9</v>
      </c>
      <c r="M68" s="12" t="n">
        <v>10.24</v>
      </c>
      <c r="N68" s="12" t="n">
        <v>19.4</v>
      </c>
    </row>
    <row r="69" customFormat="false" ht="15" hidden="false" customHeight="false" outlineLevel="0" collapsed="false">
      <c r="A69" s="14" t="n">
        <v>0.05789</v>
      </c>
      <c r="B69" s="14" t="n">
        <v>12.5</v>
      </c>
      <c r="C69" s="14" t="n">
        <v>6.07</v>
      </c>
      <c r="D69" s="15" t="n">
        <v>0</v>
      </c>
      <c r="E69" s="14" t="n">
        <v>0.409</v>
      </c>
      <c r="F69" s="14" t="n">
        <v>5.878</v>
      </c>
      <c r="G69" s="14" t="n">
        <v>21.4</v>
      </c>
      <c r="H69" s="14" t="n">
        <v>6.498</v>
      </c>
      <c r="I69" s="14" t="n">
        <v>4</v>
      </c>
      <c r="J69" s="14" t="n">
        <v>345</v>
      </c>
      <c r="K69" s="14" t="n">
        <v>18.9</v>
      </c>
      <c r="L69" s="14" t="n">
        <v>396.21</v>
      </c>
      <c r="M69" s="14" t="n">
        <v>8.1</v>
      </c>
      <c r="N69" s="14" t="n">
        <v>22</v>
      </c>
    </row>
    <row r="70" customFormat="false" ht="15" hidden="false" customHeight="false" outlineLevel="0" collapsed="false">
      <c r="A70" s="12" t="n">
        <v>0.13554</v>
      </c>
      <c r="B70" s="12" t="n">
        <v>12.5</v>
      </c>
      <c r="C70" s="12" t="n">
        <v>6.07</v>
      </c>
      <c r="D70" s="13" t="n">
        <v>0</v>
      </c>
      <c r="E70" s="12" t="n">
        <v>0.409</v>
      </c>
      <c r="F70" s="12" t="n">
        <v>5.594</v>
      </c>
      <c r="G70" s="12" t="n">
        <v>36.8</v>
      </c>
      <c r="H70" s="12" t="n">
        <v>6.498</v>
      </c>
      <c r="I70" s="12" t="n">
        <v>4</v>
      </c>
      <c r="J70" s="12" t="n">
        <v>345</v>
      </c>
      <c r="K70" s="12" t="n">
        <v>18.9</v>
      </c>
      <c r="L70" s="12" t="n">
        <v>396.9</v>
      </c>
      <c r="M70" s="12" t="n">
        <v>13.09</v>
      </c>
      <c r="N70" s="12" t="n">
        <v>17.4</v>
      </c>
    </row>
    <row r="71" customFormat="false" ht="15" hidden="false" customHeight="false" outlineLevel="0" collapsed="false">
      <c r="A71" s="14" t="n">
        <v>0.12816</v>
      </c>
      <c r="B71" s="14" t="n">
        <v>12.5</v>
      </c>
      <c r="C71" s="14" t="n">
        <v>6.07</v>
      </c>
      <c r="D71" s="15" t="n">
        <v>0</v>
      </c>
      <c r="E71" s="14" t="n">
        <v>0.409</v>
      </c>
      <c r="F71" s="14" t="n">
        <v>5.885</v>
      </c>
      <c r="G71" s="14" t="n">
        <v>33</v>
      </c>
      <c r="H71" s="14" t="n">
        <v>6.498</v>
      </c>
      <c r="I71" s="14" t="n">
        <v>4</v>
      </c>
      <c r="J71" s="14" t="n">
        <v>345</v>
      </c>
      <c r="K71" s="14" t="n">
        <v>18.9</v>
      </c>
      <c r="L71" s="14" t="n">
        <v>396.9</v>
      </c>
      <c r="M71" s="14" t="n">
        <v>8.79</v>
      </c>
      <c r="N71" s="14" t="n">
        <v>20.9</v>
      </c>
    </row>
    <row r="72" customFormat="false" ht="15" hidden="false" customHeight="false" outlineLevel="0" collapsed="false">
      <c r="A72" s="12" t="n">
        <v>0.08826</v>
      </c>
      <c r="B72" s="12" t="n">
        <v>0</v>
      </c>
      <c r="C72" s="12" t="n">
        <v>10.81</v>
      </c>
      <c r="D72" s="13" t="n">
        <v>0</v>
      </c>
      <c r="E72" s="12" t="n">
        <v>0.413</v>
      </c>
      <c r="F72" s="12" t="n">
        <v>6.417</v>
      </c>
      <c r="G72" s="12" t="n">
        <v>6.6</v>
      </c>
      <c r="H72" s="12" t="n">
        <v>5.2873</v>
      </c>
      <c r="I72" s="12" t="n">
        <v>4</v>
      </c>
      <c r="J72" s="12" t="n">
        <v>305</v>
      </c>
      <c r="K72" s="12" t="n">
        <v>19.2</v>
      </c>
      <c r="L72" s="12" t="n">
        <v>383.73</v>
      </c>
      <c r="M72" s="12" t="n">
        <v>6.72</v>
      </c>
      <c r="N72" s="12" t="n">
        <v>24.2</v>
      </c>
    </row>
    <row r="73" customFormat="false" ht="15" hidden="false" customHeight="false" outlineLevel="0" collapsed="false">
      <c r="A73" s="14" t="n">
        <v>0.15876</v>
      </c>
      <c r="B73" s="14" t="n">
        <v>0</v>
      </c>
      <c r="C73" s="14" t="n">
        <v>10.81</v>
      </c>
      <c r="D73" s="15" t="n">
        <v>0</v>
      </c>
      <c r="E73" s="14" t="n">
        <v>0.413</v>
      </c>
      <c r="F73" s="14" t="n">
        <v>5.961</v>
      </c>
      <c r="G73" s="14" t="n">
        <v>17.5</v>
      </c>
      <c r="H73" s="14" t="n">
        <v>5.2873</v>
      </c>
      <c r="I73" s="14" t="n">
        <v>4</v>
      </c>
      <c r="J73" s="14" t="n">
        <v>305</v>
      </c>
      <c r="K73" s="14" t="n">
        <v>19.2</v>
      </c>
      <c r="L73" s="14" t="n">
        <v>376.94</v>
      </c>
      <c r="M73" s="14" t="n">
        <v>9.88</v>
      </c>
      <c r="N73" s="14" t="n">
        <v>21.7</v>
      </c>
    </row>
    <row r="74" customFormat="false" ht="15" hidden="false" customHeight="false" outlineLevel="0" collapsed="false">
      <c r="A74" s="12" t="n">
        <v>0.09164</v>
      </c>
      <c r="B74" s="12" t="n">
        <v>0</v>
      </c>
      <c r="C74" s="12" t="n">
        <v>10.81</v>
      </c>
      <c r="D74" s="13" t="n">
        <v>0</v>
      </c>
      <c r="E74" s="12" t="n">
        <v>0.413</v>
      </c>
      <c r="F74" s="12" t="n">
        <v>6.065</v>
      </c>
      <c r="G74" s="12" t="n">
        <v>7.8</v>
      </c>
      <c r="H74" s="12" t="n">
        <v>5.2873</v>
      </c>
      <c r="I74" s="12" t="n">
        <v>4</v>
      </c>
      <c r="J74" s="12" t="n">
        <v>305</v>
      </c>
      <c r="K74" s="12" t="n">
        <v>19.2</v>
      </c>
      <c r="L74" s="12" t="n">
        <v>390.91</v>
      </c>
      <c r="M74" s="12" t="n">
        <v>5.52</v>
      </c>
      <c r="N74" s="12" t="n">
        <v>22.8</v>
      </c>
    </row>
    <row r="75" customFormat="false" ht="15" hidden="false" customHeight="false" outlineLevel="0" collapsed="false">
      <c r="A75" s="14" t="n">
        <v>0.19539</v>
      </c>
      <c r="B75" s="14" t="n">
        <v>0</v>
      </c>
      <c r="C75" s="14" t="n">
        <v>10.81</v>
      </c>
      <c r="D75" s="15" t="n">
        <v>0</v>
      </c>
      <c r="E75" s="14" t="n">
        <v>0.413</v>
      </c>
      <c r="F75" s="14" t="n">
        <v>6.245</v>
      </c>
      <c r="G75" s="14" t="n">
        <v>6.2</v>
      </c>
      <c r="H75" s="14" t="n">
        <v>5.2873</v>
      </c>
      <c r="I75" s="14" t="n">
        <v>4</v>
      </c>
      <c r="J75" s="14" t="n">
        <v>305</v>
      </c>
      <c r="K75" s="14" t="n">
        <v>19.2</v>
      </c>
      <c r="L75" s="14" t="n">
        <v>377.17</v>
      </c>
      <c r="M75" s="14" t="n">
        <v>7.54</v>
      </c>
      <c r="N75" s="14" t="n">
        <v>23.4</v>
      </c>
    </row>
    <row r="76" customFormat="false" ht="15" hidden="false" customHeight="false" outlineLevel="0" collapsed="false">
      <c r="A76" s="12" t="n">
        <v>0.07896</v>
      </c>
      <c r="B76" s="12" t="n">
        <v>0</v>
      </c>
      <c r="C76" s="12" t="n">
        <v>12.83</v>
      </c>
      <c r="D76" s="13" t="n">
        <v>0</v>
      </c>
      <c r="E76" s="12" t="n">
        <v>0.437</v>
      </c>
      <c r="F76" s="12" t="n">
        <v>6.273</v>
      </c>
      <c r="G76" s="12" t="n">
        <v>6</v>
      </c>
      <c r="H76" s="12" t="n">
        <v>4.2515</v>
      </c>
      <c r="I76" s="12" t="n">
        <v>5</v>
      </c>
      <c r="J76" s="12" t="n">
        <v>398</v>
      </c>
      <c r="K76" s="12" t="n">
        <v>18.7</v>
      </c>
      <c r="L76" s="12" t="n">
        <v>394.92</v>
      </c>
      <c r="M76" s="12" t="n">
        <v>6.78</v>
      </c>
      <c r="N76" s="12" t="n">
        <v>24.1</v>
      </c>
    </row>
    <row r="77" customFormat="false" ht="15" hidden="false" customHeight="false" outlineLevel="0" collapsed="false">
      <c r="A77" s="14" t="n">
        <v>0.09512</v>
      </c>
      <c r="B77" s="14" t="n">
        <v>0</v>
      </c>
      <c r="C77" s="14" t="n">
        <v>12.83</v>
      </c>
      <c r="D77" s="15" t="n">
        <v>0</v>
      </c>
      <c r="E77" s="14" t="n">
        <v>0.437</v>
      </c>
      <c r="F77" s="14" t="n">
        <v>6.286</v>
      </c>
      <c r="G77" s="14" t="n">
        <v>45</v>
      </c>
      <c r="H77" s="14" t="n">
        <v>4.5026</v>
      </c>
      <c r="I77" s="14" t="n">
        <v>5</v>
      </c>
      <c r="J77" s="14" t="n">
        <v>398</v>
      </c>
      <c r="K77" s="14" t="n">
        <v>18.7</v>
      </c>
      <c r="L77" s="14" t="n">
        <v>383.23</v>
      </c>
      <c r="M77" s="14" t="n">
        <v>8.94</v>
      </c>
      <c r="N77" s="14" t="n">
        <v>21.4</v>
      </c>
    </row>
    <row r="78" customFormat="false" ht="15" hidden="false" customHeight="false" outlineLevel="0" collapsed="false">
      <c r="A78" s="12" t="n">
        <v>0.10153</v>
      </c>
      <c r="B78" s="12" t="n">
        <v>0</v>
      </c>
      <c r="C78" s="12" t="n">
        <v>12.83</v>
      </c>
      <c r="D78" s="13" t="n">
        <v>0</v>
      </c>
      <c r="E78" s="12" t="n">
        <v>0.437</v>
      </c>
      <c r="F78" s="12" t="n">
        <v>6.279</v>
      </c>
      <c r="G78" s="12" t="n">
        <v>74.5</v>
      </c>
      <c r="H78" s="12" t="n">
        <v>4.0522</v>
      </c>
      <c r="I78" s="12" t="n">
        <v>5</v>
      </c>
      <c r="J78" s="12" t="n">
        <v>398</v>
      </c>
      <c r="K78" s="12" t="n">
        <v>18.7</v>
      </c>
      <c r="L78" s="12" t="n">
        <v>373.66</v>
      </c>
      <c r="M78" s="12" t="n">
        <v>11.97</v>
      </c>
      <c r="N78" s="12" t="n">
        <v>20</v>
      </c>
    </row>
    <row r="79" customFormat="false" ht="15" hidden="false" customHeight="false" outlineLevel="0" collapsed="false">
      <c r="A79" s="14" t="n">
        <v>0.08707</v>
      </c>
      <c r="B79" s="14" t="n">
        <v>0</v>
      </c>
      <c r="C79" s="14" t="n">
        <v>12.83</v>
      </c>
      <c r="D79" s="15" t="n">
        <v>0</v>
      </c>
      <c r="E79" s="14" t="n">
        <v>0.437</v>
      </c>
      <c r="F79" s="14" t="n">
        <v>6.14</v>
      </c>
      <c r="G79" s="14" t="n">
        <v>45.8</v>
      </c>
      <c r="H79" s="14" t="n">
        <v>4.0905</v>
      </c>
      <c r="I79" s="14" t="n">
        <v>5</v>
      </c>
      <c r="J79" s="14" t="n">
        <v>398</v>
      </c>
      <c r="K79" s="14" t="n">
        <v>18.7</v>
      </c>
      <c r="L79" s="14" t="n">
        <v>386.96</v>
      </c>
      <c r="M79" s="14" t="n">
        <v>10.27</v>
      </c>
      <c r="N79" s="14" t="n">
        <v>20.8</v>
      </c>
    </row>
    <row r="80" customFormat="false" ht="15" hidden="false" customHeight="false" outlineLevel="0" collapsed="false">
      <c r="A80" s="12" t="n">
        <v>0.05646</v>
      </c>
      <c r="B80" s="12" t="n">
        <v>0</v>
      </c>
      <c r="C80" s="12" t="n">
        <v>12.83</v>
      </c>
      <c r="D80" s="13" t="n">
        <v>0</v>
      </c>
      <c r="E80" s="12" t="n">
        <v>0.437</v>
      </c>
      <c r="F80" s="12" t="n">
        <v>6.232</v>
      </c>
      <c r="G80" s="12" t="n">
        <v>53.7</v>
      </c>
      <c r="H80" s="12" t="n">
        <v>5.0141</v>
      </c>
      <c r="I80" s="12" t="n">
        <v>5</v>
      </c>
      <c r="J80" s="12" t="n">
        <v>398</v>
      </c>
      <c r="K80" s="12" t="n">
        <v>18.7</v>
      </c>
      <c r="L80" s="12" t="n">
        <v>386.4</v>
      </c>
      <c r="M80" s="12" t="n">
        <v>12.34</v>
      </c>
      <c r="N80" s="12" t="n">
        <v>21.2</v>
      </c>
    </row>
    <row r="81" customFormat="false" ht="15" hidden="false" customHeight="false" outlineLevel="0" collapsed="false">
      <c r="A81" s="14" t="n">
        <v>0.08387</v>
      </c>
      <c r="B81" s="14" t="n">
        <v>0</v>
      </c>
      <c r="C81" s="14" t="n">
        <v>12.83</v>
      </c>
      <c r="D81" s="15" t="n">
        <v>0</v>
      </c>
      <c r="E81" s="14" t="n">
        <v>0.437</v>
      </c>
      <c r="F81" s="14" t="n">
        <v>5.874</v>
      </c>
      <c r="G81" s="14" t="n">
        <v>36.6</v>
      </c>
      <c r="H81" s="14" t="n">
        <v>4.5026</v>
      </c>
      <c r="I81" s="14" t="n">
        <v>5</v>
      </c>
      <c r="J81" s="14" t="n">
        <v>398</v>
      </c>
      <c r="K81" s="14" t="n">
        <v>18.7</v>
      </c>
      <c r="L81" s="14" t="n">
        <v>396.06</v>
      </c>
      <c r="M81" s="14" t="n">
        <v>9.1</v>
      </c>
      <c r="N81" s="14" t="n">
        <v>20.3</v>
      </c>
    </row>
    <row r="82" customFormat="false" ht="15" hidden="false" customHeight="false" outlineLevel="0" collapsed="false">
      <c r="A82" s="12" t="n">
        <v>0.04113</v>
      </c>
      <c r="B82" s="12" t="n">
        <v>25</v>
      </c>
      <c r="C82" s="12" t="n">
        <v>4.86</v>
      </c>
      <c r="D82" s="13" t="n">
        <v>0</v>
      </c>
      <c r="E82" s="12" t="n">
        <v>0.426</v>
      </c>
      <c r="F82" s="12" t="n">
        <v>6.727</v>
      </c>
      <c r="G82" s="12" t="n">
        <v>33.5</v>
      </c>
      <c r="H82" s="12" t="n">
        <v>5.4007</v>
      </c>
      <c r="I82" s="12" t="n">
        <v>4</v>
      </c>
      <c r="J82" s="12" t="n">
        <v>281</v>
      </c>
      <c r="K82" s="12" t="n">
        <v>19</v>
      </c>
      <c r="L82" s="12" t="n">
        <v>396.9</v>
      </c>
      <c r="M82" s="12" t="n">
        <v>5.29</v>
      </c>
      <c r="N82" s="12" t="n">
        <v>28</v>
      </c>
    </row>
    <row r="83" customFormat="false" ht="15" hidden="false" customHeight="false" outlineLevel="0" collapsed="false">
      <c r="A83" s="14" t="n">
        <v>0.04462</v>
      </c>
      <c r="B83" s="14" t="n">
        <v>25</v>
      </c>
      <c r="C83" s="14" t="n">
        <v>4.86</v>
      </c>
      <c r="D83" s="15" t="n">
        <v>0</v>
      </c>
      <c r="E83" s="14" t="n">
        <v>0.426</v>
      </c>
      <c r="F83" s="14" t="n">
        <v>6.619</v>
      </c>
      <c r="G83" s="14" t="n">
        <v>70.4</v>
      </c>
      <c r="H83" s="14" t="n">
        <v>5.4007</v>
      </c>
      <c r="I83" s="14" t="n">
        <v>4</v>
      </c>
      <c r="J83" s="14" t="n">
        <v>281</v>
      </c>
      <c r="K83" s="14" t="n">
        <v>19</v>
      </c>
      <c r="L83" s="14" t="n">
        <v>395.63</v>
      </c>
      <c r="M83" s="14" t="n">
        <v>7.22</v>
      </c>
      <c r="N83" s="14" t="n">
        <v>23.9</v>
      </c>
    </row>
    <row r="84" customFormat="false" ht="15" hidden="false" customHeight="false" outlineLevel="0" collapsed="false">
      <c r="A84" s="12" t="n">
        <v>0.03659</v>
      </c>
      <c r="B84" s="12" t="n">
        <v>25</v>
      </c>
      <c r="C84" s="12" t="n">
        <v>4.86</v>
      </c>
      <c r="D84" s="13" t="n">
        <v>0</v>
      </c>
      <c r="E84" s="12" t="n">
        <v>0.426</v>
      </c>
      <c r="F84" s="12" t="n">
        <v>6.302</v>
      </c>
      <c r="G84" s="12" t="n">
        <v>32.2</v>
      </c>
      <c r="H84" s="12" t="n">
        <v>5.4007</v>
      </c>
      <c r="I84" s="12" t="n">
        <v>4</v>
      </c>
      <c r="J84" s="12" t="n">
        <v>281</v>
      </c>
      <c r="K84" s="12" t="n">
        <v>19</v>
      </c>
      <c r="L84" s="12" t="n">
        <v>396.9</v>
      </c>
      <c r="M84" s="12" t="n">
        <v>6.72</v>
      </c>
      <c r="N84" s="12" t="n">
        <v>24.8</v>
      </c>
    </row>
    <row r="85" customFormat="false" ht="15" hidden="false" customHeight="false" outlineLevel="0" collapsed="false">
      <c r="A85" s="14" t="n">
        <v>0.03551</v>
      </c>
      <c r="B85" s="14" t="n">
        <v>25</v>
      </c>
      <c r="C85" s="14" t="n">
        <v>4.86</v>
      </c>
      <c r="D85" s="15" t="n">
        <v>0</v>
      </c>
      <c r="E85" s="14" t="n">
        <v>0.426</v>
      </c>
      <c r="F85" s="14" t="n">
        <v>6.167</v>
      </c>
      <c r="G85" s="14" t="n">
        <v>46.7</v>
      </c>
      <c r="H85" s="14" t="n">
        <v>5.4007</v>
      </c>
      <c r="I85" s="14" t="n">
        <v>4</v>
      </c>
      <c r="J85" s="14" t="n">
        <v>281</v>
      </c>
      <c r="K85" s="14" t="n">
        <v>19</v>
      </c>
      <c r="L85" s="14" t="n">
        <v>390.64</v>
      </c>
      <c r="M85" s="14" t="n">
        <v>7.51</v>
      </c>
      <c r="N85" s="14" t="n">
        <v>22.9</v>
      </c>
    </row>
    <row r="86" customFormat="false" ht="15" hidden="false" customHeight="false" outlineLevel="0" collapsed="false">
      <c r="A86" s="12" t="n">
        <v>0.05059</v>
      </c>
      <c r="B86" s="12" t="n">
        <v>0</v>
      </c>
      <c r="C86" s="12" t="n">
        <v>4.49</v>
      </c>
      <c r="D86" s="13" t="n">
        <v>0</v>
      </c>
      <c r="E86" s="12" t="n">
        <v>0.449</v>
      </c>
      <c r="F86" s="12" t="n">
        <v>6.389</v>
      </c>
      <c r="G86" s="12" t="n">
        <v>48</v>
      </c>
      <c r="H86" s="12" t="n">
        <v>4.7794</v>
      </c>
      <c r="I86" s="12" t="n">
        <v>3</v>
      </c>
      <c r="J86" s="12" t="n">
        <v>247</v>
      </c>
      <c r="K86" s="12" t="n">
        <v>18.5</v>
      </c>
      <c r="L86" s="12" t="n">
        <v>396.9</v>
      </c>
      <c r="M86" s="12" t="n">
        <v>9.62</v>
      </c>
      <c r="N86" s="12" t="n">
        <v>23.9</v>
      </c>
    </row>
    <row r="87" customFormat="false" ht="15" hidden="false" customHeight="false" outlineLevel="0" collapsed="false">
      <c r="A87" s="14" t="n">
        <v>0.05735</v>
      </c>
      <c r="B87" s="14" t="n">
        <v>0</v>
      </c>
      <c r="C87" s="14" t="n">
        <v>4.49</v>
      </c>
      <c r="D87" s="15" t="n">
        <v>0</v>
      </c>
      <c r="E87" s="14" t="n">
        <v>0.449</v>
      </c>
      <c r="F87" s="14" t="n">
        <v>6.63</v>
      </c>
      <c r="G87" s="14" t="n">
        <v>56.1</v>
      </c>
      <c r="H87" s="14" t="n">
        <v>4.4377</v>
      </c>
      <c r="I87" s="14" t="n">
        <v>3</v>
      </c>
      <c r="J87" s="14" t="n">
        <v>247</v>
      </c>
      <c r="K87" s="14" t="n">
        <v>18.5</v>
      </c>
      <c r="L87" s="14" t="n">
        <v>392.3</v>
      </c>
      <c r="M87" s="14" t="n">
        <v>6.53</v>
      </c>
      <c r="N87" s="14" t="n">
        <v>26.6</v>
      </c>
    </row>
    <row r="88" customFormat="false" ht="15" hidden="false" customHeight="false" outlineLevel="0" collapsed="false">
      <c r="A88" s="12" t="n">
        <v>0.05188</v>
      </c>
      <c r="B88" s="12" t="n">
        <v>0</v>
      </c>
      <c r="C88" s="12" t="n">
        <v>4.49</v>
      </c>
      <c r="D88" s="13" t="n">
        <v>0</v>
      </c>
      <c r="E88" s="12" t="n">
        <v>0.449</v>
      </c>
      <c r="F88" s="12" t="n">
        <v>6.015</v>
      </c>
      <c r="G88" s="12" t="n">
        <v>45.1</v>
      </c>
      <c r="H88" s="12" t="n">
        <v>4.4272</v>
      </c>
      <c r="I88" s="12" t="n">
        <v>3</v>
      </c>
      <c r="J88" s="12" t="n">
        <v>247</v>
      </c>
      <c r="K88" s="12" t="n">
        <v>18.5</v>
      </c>
      <c r="L88" s="12" t="n">
        <v>395.99</v>
      </c>
      <c r="M88" s="12" t="n">
        <v>12.86</v>
      </c>
      <c r="N88" s="12" t="n">
        <v>22.5</v>
      </c>
    </row>
    <row r="89" customFormat="false" ht="15" hidden="false" customHeight="false" outlineLevel="0" collapsed="false">
      <c r="A89" s="14" t="n">
        <v>0.07151</v>
      </c>
      <c r="B89" s="14" t="n">
        <v>0</v>
      </c>
      <c r="C89" s="14" t="n">
        <v>4.49</v>
      </c>
      <c r="D89" s="15" t="n">
        <v>0</v>
      </c>
      <c r="E89" s="14" t="n">
        <v>0.449</v>
      </c>
      <c r="F89" s="14" t="n">
        <v>6.121</v>
      </c>
      <c r="G89" s="14" t="n">
        <v>56.8</v>
      </c>
      <c r="H89" s="14" t="n">
        <v>3.7476</v>
      </c>
      <c r="I89" s="14" t="n">
        <v>3</v>
      </c>
      <c r="J89" s="14" t="n">
        <v>247</v>
      </c>
      <c r="K89" s="14" t="n">
        <v>18.5</v>
      </c>
      <c r="L89" s="14" t="n">
        <v>395.15</v>
      </c>
      <c r="M89" s="14" t="n">
        <v>8.44</v>
      </c>
      <c r="N89" s="14" t="n">
        <v>22.2</v>
      </c>
    </row>
    <row r="90" customFormat="false" ht="15" hidden="false" customHeight="false" outlineLevel="0" collapsed="false">
      <c r="A90" s="12" t="n">
        <v>0.0566</v>
      </c>
      <c r="B90" s="12" t="n">
        <v>0</v>
      </c>
      <c r="C90" s="12" t="n">
        <v>3.41</v>
      </c>
      <c r="D90" s="13" t="n">
        <v>0</v>
      </c>
      <c r="E90" s="12" t="n">
        <v>0.489</v>
      </c>
      <c r="F90" s="12" t="n">
        <v>7.007</v>
      </c>
      <c r="G90" s="12" t="n">
        <v>86.3</v>
      </c>
      <c r="H90" s="12" t="n">
        <v>3.4217</v>
      </c>
      <c r="I90" s="12" t="n">
        <v>2</v>
      </c>
      <c r="J90" s="12" t="n">
        <v>270</v>
      </c>
      <c r="K90" s="12" t="n">
        <v>17.8</v>
      </c>
      <c r="L90" s="12" t="n">
        <v>396.9</v>
      </c>
      <c r="M90" s="12" t="n">
        <v>5.5</v>
      </c>
      <c r="N90" s="12" t="n">
        <v>23.6</v>
      </c>
    </row>
    <row r="91" customFormat="false" ht="15" hidden="false" customHeight="false" outlineLevel="0" collapsed="false">
      <c r="A91" s="14" t="n">
        <v>0.05302</v>
      </c>
      <c r="B91" s="14" t="n">
        <v>0</v>
      </c>
      <c r="C91" s="14" t="n">
        <v>3.41</v>
      </c>
      <c r="D91" s="15" t="n">
        <v>0</v>
      </c>
      <c r="E91" s="14" t="n">
        <v>0.489</v>
      </c>
      <c r="F91" s="14" t="n">
        <v>7.079</v>
      </c>
      <c r="G91" s="14" t="n">
        <v>63.1</v>
      </c>
      <c r="H91" s="14" t="n">
        <v>3.4145</v>
      </c>
      <c r="I91" s="14" t="n">
        <v>2</v>
      </c>
      <c r="J91" s="14" t="n">
        <v>270</v>
      </c>
      <c r="K91" s="14" t="n">
        <v>17.8</v>
      </c>
      <c r="L91" s="14" t="n">
        <v>396.06</v>
      </c>
      <c r="M91" s="14" t="n">
        <v>5.7</v>
      </c>
      <c r="N91" s="14" t="n">
        <v>28.7</v>
      </c>
    </row>
    <row r="92" customFormat="false" ht="15" hidden="false" customHeight="false" outlineLevel="0" collapsed="false">
      <c r="A92" s="12" t="n">
        <v>0.04684</v>
      </c>
      <c r="B92" s="12" t="n">
        <v>0</v>
      </c>
      <c r="C92" s="12" t="n">
        <v>3.41</v>
      </c>
      <c r="D92" s="13" t="n">
        <v>0</v>
      </c>
      <c r="E92" s="12" t="n">
        <v>0.489</v>
      </c>
      <c r="F92" s="12" t="n">
        <v>6.417</v>
      </c>
      <c r="G92" s="12" t="n">
        <v>66.1</v>
      </c>
      <c r="H92" s="12" t="n">
        <v>3.0923</v>
      </c>
      <c r="I92" s="12" t="n">
        <v>2</v>
      </c>
      <c r="J92" s="12" t="n">
        <v>270</v>
      </c>
      <c r="K92" s="12" t="n">
        <v>17.8</v>
      </c>
      <c r="L92" s="12" t="n">
        <v>392.18</v>
      </c>
      <c r="M92" s="12" t="n">
        <v>8.81</v>
      </c>
      <c r="N92" s="12" t="n">
        <v>22.6</v>
      </c>
    </row>
    <row r="93" customFormat="false" ht="15" hidden="false" customHeight="false" outlineLevel="0" collapsed="false">
      <c r="A93" s="14" t="n">
        <v>0.03932</v>
      </c>
      <c r="B93" s="14" t="n">
        <v>0</v>
      </c>
      <c r="C93" s="14" t="n">
        <v>3.41</v>
      </c>
      <c r="D93" s="15" t="n">
        <v>0</v>
      </c>
      <c r="E93" s="14" t="n">
        <v>0.489</v>
      </c>
      <c r="F93" s="14" t="n">
        <v>6.405</v>
      </c>
      <c r="G93" s="14" t="n">
        <v>73.9</v>
      </c>
      <c r="H93" s="14" t="n">
        <v>3.0921</v>
      </c>
      <c r="I93" s="14" t="n">
        <v>2</v>
      </c>
      <c r="J93" s="14" t="n">
        <v>270</v>
      </c>
      <c r="K93" s="14" t="n">
        <v>17.8</v>
      </c>
      <c r="L93" s="14" t="n">
        <v>393.55</v>
      </c>
      <c r="M93" s="14" t="n">
        <v>8.2</v>
      </c>
      <c r="N93" s="14" t="n">
        <v>22</v>
      </c>
    </row>
    <row r="94" customFormat="false" ht="15" hidden="false" customHeight="false" outlineLevel="0" collapsed="false">
      <c r="A94" s="12" t="n">
        <v>0.04203</v>
      </c>
      <c r="B94" s="12" t="n">
        <v>28</v>
      </c>
      <c r="C94" s="12" t="n">
        <v>15.04</v>
      </c>
      <c r="D94" s="13" t="n">
        <v>0</v>
      </c>
      <c r="E94" s="12" t="n">
        <v>0.464</v>
      </c>
      <c r="F94" s="12" t="n">
        <v>6.442</v>
      </c>
      <c r="G94" s="12" t="n">
        <v>53.6</v>
      </c>
      <c r="H94" s="12" t="n">
        <v>3.6659</v>
      </c>
      <c r="I94" s="12" t="n">
        <v>4</v>
      </c>
      <c r="J94" s="12" t="n">
        <v>270</v>
      </c>
      <c r="K94" s="12" t="n">
        <v>18.2</v>
      </c>
      <c r="L94" s="12" t="n">
        <v>395.01</v>
      </c>
      <c r="M94" s="12" t="n">
        <v>8.16</v>
      </c>
      <c r="N94" s="12" t="n">
        <v>22.9</v>
      </c>
    </row>
    <row r="95" customFormat="false" ht="15" hidden="false" customHeight="false" outlineLevel="0" collapsed="false">
      <c r="A95" s="14" t="n">
        <v>0.02875</v>
      </c>
      <c r="B95" s="14" t="n">
        <v>28</v>
      </c>
      <c r="C95" s="14" t="n">
        <v>15.04</v>
      </c>
      <c r="D95" s="15" t="n">
        <v>0</v>
      </c>
      <c r="E95" s="14" t="n">
        <v>0.464</v>
      </c>
      <c r="F95" s="14" t="n">
        <v>6.211</v>
      </c>
      <c r="G95" s="14" t="n">
        <v>28.9</v>
      </c>
      <c r="H95" s="14" t="n">
        <v>3.6659</v>
      </c>
      <c r="I95" s="14" t="n">
        <v>4</v>
      </c>
      <c r="J95" s="14" t="n">
        <v>270</v>
      </c>
      <c r="K95" s="14" t="n">
        <v>18.2</v>
      </c>
      <c r="L95" s="14" t="n">
        <v>396.33</v>
      </c>
      <c r="M95" s="14" t="n">
        <v>6.21</v>
      </c>
      <c r="N95" s="14" t="n">
        <v>25</v>
      </c>
    </row>
    <row r="96" customFormat="false" ht="15" hidden="false" customHeight="false" outlineLevel="0" collapsed="false">
      <c r="A96" s="12" t="n">
        <v>0.04294</v>
      </c>
      <c r="B96" s="12" t="n">
        <v>28</v>
      </c>
      <c r="C96" s="12" t="n">
        <v>15.04</v>
      </c>
      <c r="D96" s="13" t="n">
        <v>0</v>
      </c>
      <c r="E96" s="12" t="n">
        <v>0.464</v>
      </c>
      <c r="F96" s="12" t="n">
        <v>6.249</v>
      </c>
      <c r="G96" s="12" t="n">
        <v>77.3</v>
      </c>
      <c r="H96" s="12" t="n">
        <v>3.615</v>
      </c>
      <c r="I96" s="12" t="n">
        <v>4</v>
      </c>
      <c r="J96" s="12" t="n">
        <v>270</v>
      </c>
      <c r="K96" s="12" t="n">
        <v>18.2</v>
      </c>
      <c r="L96" s="12" t="n">
        <v>396.9</v>
      </c>
      <c r="M96" s="12" t="n">
        <v>10.59</v>
      </c>
      <c r="N96" s="12" t="n">
        <v>20.6</v>
      </c>
    </row>
    <row r="97" customFormat="false" ht="15" hidden="false" customHeight="false" outlineLevel="0" collapsed="false">
      <c r="A97" s="14" t="n">
        <v>0.12204</v>
      </c>
      <c r="B97" s="14" t="n">
        <v>0</v>
      </c>
      <c r="C97" s="14" t="n">
        <v>2.89</v>
      </c>
      <c r="D97" s="15" t="n">
        <v>0</v>
      </c>
      <c r="E97" s="14" t="n">
        <v>0.445</v>
      </c>
      <c r="F97" s="14" t="n">
        <v>6.625</v>
      </c>
      <c r="G97" s="14" t="n">
        <v>57.8</v>
      </c>
      <c r="H97" s="14" t="n">
        <v>3.4952</v>
      </c>
      <c r="I97" s="14" t="n">
        <v>2</v>
      </c>
      <c r="J97" s="14" t="n">
        <v>276</v>
      </c>
      <c r="K97" s="14" t="n">
        <v>18</v>
      </c>
      <c r="L97" s="14" t="n">
        <v>357.98</v>
      </c>
      <c r="M97" s="14" t="n">
        <v>6.65</v>
      </c>
      <c r="N97" s="14" t="n">
        <v>28.4</v>
      </c>
    </row>
    <row r="98" customFormat="false" ht="15" hidden="false" customHeight="false" outlineLevel="0" collapsed="false">
      <c r="A98" s="12" t="n">
        <v>0.11504</v>
      </c>
      <c r="B98" s="12" t="n">
        <v>0</v>
      </c>
      <c r="C98" s="12" t="n">
        <v>2.89</v>
      </c>
      <c r="D98" s="13" t="n">
        <v>0</v>
      </c>
      <c r="E98" s="12" t="n">
        <v>0.445</v>
      </c>
      <c r="F98" s="12" t="n">
        <v>6.163</v>
      </c>
      <c r="G98" s="12" t="n">
        <v>69.6</v>
      </c>
      <c r="H98" s="12" t="n">
        <v>3.4952</v>
      </c>
      <c r="I98" s="12" t="n">
        <v>2</v>
      </c>
      <c r="J98" s="12" t="n">
        <v>276</v>
      </c>
      <c r="K98" s="12" t="n">
        <v>18</v>
      </c>
      <c r="L98" s="12" t="n">
        <v>391.83</v>
      </c>
      <c r="M98" s="12" t="n">
        <v>11.34</v>
      </c>
      <c r="N98" s="12" t="n">
        <v>21.4</v>
      </c>
    </row>
    <row r="99" customFormat="false" ht="15" hidden="false" customHeight="false" outlineLevel="0" collapsed="false">
      <c r="A99" s="14" t="n">
        <v>0.12083</v>
      </c>
      <c r="B99" s="14" t="n">
        <v>0</v>
      </c>
      <c r="C99" s="14" t="n">
        <v>2.89</v>
      </c>
      <c r="D99" s="15" t="n">
        <v>0</v>
      </c>
      <c r="E99" s="14" t="n">
        <v>0.445</v>
      </c>
      <c r="F99" s="14" t="n">
        <v>8.069</v>
      </c>
      <c r="G99" s="14" t="n">
        <v>76</v>
      </c>
      <c r="H99" s="14" t="n">
        <v>3.4952</v>
      </c>
      <c r="I99" s="14" t="n">
        <v>2</v>
      </c>
      <c r="J99" s="14" t="n">
        <v>276</v>
      </c>
      <c r="K99" s="14" t="n">
        <v>18</v>
      </c>
      <c r="L99" s="14" t="n">
        <v>396.9</v>
      </c>
      <c r="M99" s="14" t="n">
        <v>4.21</v>
      </c>
      <c r="N99" s="14" t="n">
        <v>38.7</v>
      </c>
    </row>
    <row r="100" customFormat="false" ht="15" hidden="false" customHeight="false" outlineLevel="0" collapsed="false">
      <c r="A100" s="12" t="n">
        <v>0.08187</v>
      </c>
      <c r="B100" s="12" t="n">
        <v>0</v>
      </c>
      <c r="C100" s="12" t="n">
        <v>2.89</v>
      </c>
      <c r="D100" s="13" t="n">
        <v>0</v>
      </c>
      <c r="E100" s="12" t="n">
        <v>0.445</v>
      </c>
      <c r="F100" s="12" t="n">
        <v>7.82</v>
      </c>
      <c r="G100" s="12" t="n">
        <v>36.9</v>
      </c>
      <c r="H100" s="12" t="n">
        <v>3.4952</v>
      </c>
      <c r="I100" s="12" t="n">
        <v>2</v>
      </c>
      <c r="J100" s="12" t="n">
        <v>276</v>
      </c>
      <c r="K100" s="12" t="n">
        <v>18</v>
      </c>
      <c r="L100" s="12" t="n">
        <v>393.53</v>
      </c>
      <c r="M100" s="12" t="n">
        <v>3.57</v>
      </c>
      <c r="N100" s="12" t="n">
        <v>43.8</v>
      </c>
    </row>
    <row r="101" customFormat="false" ht="15" hidden="false" customHeight="false" outlineLevel="0" collapsed="false">
      <c r="A101" s="14" t="n">
        <v>0.0686</v>
      </c>
      <c r="B101" s="14" t="n">
        <v>0</v>
      </c>
      <c r="C101" s="14" t="n">
        <v>2.89</v>
      </c>
      <c r="D101" s="15" t="n">
        <v>0</v>
      </c>
      <c r="E101" s="14" t="n">
        <v>0.445</v>
      </c>
      <c r="F101" s="14" t="n">
        <v>7.416</v>
      </c>
      <c r="G101" s="14" t="n">
        <v>62.5</v>
      </c>
      <c r="H101" s="14" t="n">
        <v>3.4952</v>
      </c>
      <c r="I101" s="14" t="n">
        <v>2</v>
      </c>
      <c r="J101" s="14" t="n">
        <v>276</v>
      </c>
      <c r="K101" s="14" t="n">
        <v>18</v>
      </c>
      <c r="L101" s="14" t="n">
        <v>396.9</v>
      </c>
      <c r="M101" s="14" t="n">
        <v>6.19</v>
      </c>
      <c r="N101" s="14" t="n">
        <v>33.2</v>
      </c>
    </row>
    <row r="102" customFormat="false" ht="15" hidden="false" customHeight="false" outlineLevel="0" collapsed="false">
      <c r="A102" s="12" t="n">
        <v>0.14866</v>
      </c>
      <c r="B102" s="12" t="n">
        <v>0</v>
      </c>
      <c r="C102" s="12" t="n">
        <v>8.56</v>
      </c>
      <c r="D102" s="13" t="n">
        <v>0</v>
      </c>
      <c r="E102" s="12" t="n">
        <v>0.52</v>
      </c>
      <c r="F102" s="12" t="n">
        <v>6.727</v>
      </c>
      <c r="G102" s="12" t="n">
        <v>79.9</v>
      </c>
      <c r="H102" s="12" t="n">
        <v>2.7778</v>
      </c>
      <c r="I102" s="12" t="n">
        <v>5</v>
      </c>
      <c r="J102" s="12" t="n">
        <v>384</v>
      </c>
      <c r="K102" s="12" t="n">
        <v>20.9</v>
      </c>
      <c r="L102" s="12" t="n">
        <v>394.76</v>
      </c>
      <c r="M102" s="12" t="n">
        <v>9.42</v>
      </c>
      <c r="N102" s="12" t="n">
        <v>27.5</v>
      </c>
    </row>
    <row r="103" customFormat="false" ht="15" hidden="false" customHeight="false" outlineLevel="0" collapsed="false">
      <c r="A103" s="14" t="n">
        <v>0.11432</v>
      </c>
      <c r="B103" s="14" t="n">
        <v>0</v>
      </c>
      <c r="C103" s="14" t="n">
        <v>8.56</v>
      </c>
      <c r="D103" s="15" t="n">
        <v>0</v>
      </c>
      <c r="E103" s="14" t="n">
        <v>0.52</v>
      </c>
      <c r="F103" s="14" t="n">
        <v>6.781</v>
      </c>
      <c r="G103" s="14" t="n">
        <v>71.3</v>
      </c>
      <c r="H103" s="14" t="n">
        <v>2.8561</v>
      </c>
      <c r="I103" s="14" t="n">
        <v>5</v>
      </c>
      <c r="J103" s="14" t="n">
        <v>384</v>
      </c>
      <c r="K103" s="14" t="n">
        <v>20.9</v>
      </c>
      <c r="L103" s="14" t="n">
        <v>395.58</v>
      </c>
      <c r="M103" s="14" t="n">
        <v>7.67</v>
      </c>
      <c r="N103" s="14" t="n">
        <v>26.5</v>
      </c>
    </row>
    <row r="104" customFormat="false" ht="15" hidden="false" customHeight="false" outlineLevel="0" collapsed="false">
      <c r="A104" s="12" t="n">
        <v>0.22876</v>
      </c>
      <c r="B104" s="12" t="n">
        <v>0</v>
      </c>
      <c r="C104" s="12" t="n">
        <v>8.56</v>
      </c>
      <c r="D104" s="13" t="n">
        <v>0</v>
      </c>
      <c r="E104" s="12" t="n">
        <v>0.52</v>
      </c>
      <c r="F104" s="12" t="n">
        <v>6.405</v>
      </c>
      <c r="G104" s="12" t="n">
        <v>85.4</v>
      </c>
      <c r="H104" s="12" t="n">
        <v>2.7147</v>
      </c>
      <c r="I104" s="12" t="n">
        <v>5</v>
      </c>
      <c r="J104" s="12" t="n">
        <v>384</v>
      </c>
      <c r="K104" s="12" t="n">
        <v>20.9</v>
      </c>
      <c r="L104" s="12" t="n">
        <v>70.8</v>
      </c>
      <c r="M104" s="12" t="n">
        <v>10.63</v>
      </c>
      <c r="N104" s="12" t="n">
        <v>18.6</v>
      </c>
    </row>
    <row r="105" customFormat="false" ht="15" hidden="false" customHeight="false" outlineLevel="0" collapsed="false">
      <c r="A105" s="14" t="n">
        <v>0.21161</v>
      </c>
      <c r="B105" s="14" t="n">
        <v>0</v>
      </c>
      <c r="C105" s="14" t="n">
        <v>8.56</v>
      </c>
      <c r="D105" s="15" t="n">
        <v>0</v>
      </c>
      <c r="E105" s="14" t="n">
        <v>0.52</v>
      </c>
      <c r="F105" s="14" t="n">
        <v>6.137</v>
      </c>
      <c r="G105" s="14" t="n">
        <v>87.4</v>
      </c>
      <c r="H105" s="14" t="n">
        <v>2.7147</v>
      </c>
      <c r="I105" s="14" t="n">
        <v>5</v>
      </c>
      <c r="J105" s="14" t="n">
        <v>384</v>
      </c>
      <c r="K105" s="14" t="n">
        <v>20.9</v>
      </c>
      <c r="L105" s="14" t="n">
        <v>394.47</v>
      </c>
      <c r="M105" s="14" t="n">
        <v>13.44</v>
      </c>
      <c r="N105" s="14" t="n">
        <v>19.3</v>
      </c>
    </row>
    <row r="106" customFormat="false" ht="15" hidden="false" customHeight="false" outlineLevel="0" collapsed="false">
      <c r="A106" s="12" t="n">
        <v>0.1396</v>
      </c>
      <c r="B106" s="12" t="n">
        <v>0</v>
      </c>
      <c r="C106" s="12" t="n">
        <v>8.56</v>
      </c>
      <c r="D106" s="13" t="n">
        <v>0</v>
      </c>
      <c r="E106" s="12" t="n">
        <v>0.52</v>
      </c>
      <c r="F106" s="12" t="n">
        <v>6.167</v>
      </c>
      <c r="G106" s="12" t="n">
        <v>90</v>
      </c>
      <c r="H106" s="12" t="n">
        <v>2.421</v>
      </c>
      <c r="I106" s="12" t="n">
        <v>5</v>
      </c>
      <c r="J106" s="12" t="n">
        <v>384</v>
      </c>
      <c r="K106" s="12" t="n">
        <v>20.9</v>
      </c>
      <c r="L106" s="12" t="n">
        <v>392.69</v>
      </c>
      <c r="M106" s="12" t="n">
        <v>12.33</v>
      </c>
      <c r="N106" s="12" t="n">
        <v>20.1</v>
      </c>
    </row>
    <row r="107" customFormat="false" ht="15" hidden="false" customHeight="false" outlineLevel="0" collapsed="false">
      <c r="A107" s="14" t="n">
        <v>0.13262</v>
      </c>
      <c r="B107" s="14" t="n">
        <v>0</v>
      </c>
      <c r="C107" s="14" t="n">
        <v>8.56</v>
      </c>
      <c r="D107" s="15" t="n">
        <v>0</v>
      </c>
      <c r="E107" s="14" t="n">
        <v>0.52</v>
      </c>
      <c r="F107" s="14" t="n">
        <v>5.851</v>
      </c>
      <c r="G107" s="14" t="n">
        <v>96.7</v>
      </c>
      <c r="H107" s="14" t="n">
        <v>2.1069</v>
      </c>
      <c r="I107" s="14" t="n">
        <v>5</v>
      </c>
      <c r="J107" s="14" t="n">
        <v>384</v>
      </c>
      <c r="K107" s="14" t="n">
        <v>20.9</v>
      </c>
      <c r="L107" s="14" t="n">
        <v>394.05</v>
      </c>
      <c r="M107" s="14" t="n">
        <v>16.47</v>
      </c>
      <c r="N107" s="14" t="n">
        <v>19.5</v>
      </c>
    </row>
    <row r="108" customFormat="false" ht="15" hidden="false" customHeight="false" outlineLevel="0" collapsed="false">
      <c r="A108" s="12" t="n">
        <v>0.1712</v>
      </c>
      <c r="B108" s="12" t="n">
        <v>0</v>
      </c>
      <c r="C108" s="12" t="n">
        <v>8.56</v>
      </c>
      <c r="D108" s="13" t="n">
        <v>0</v>
      </c>
      <c r="E108" s="12" t="n">
        <v>0.52</v>
      </c>
      <c r="F108" s="12" t="n">
        <v>5.836</v>
      </c>
      <c r="G108" s="12" t="n">
        <v>91.9</v>
      </c>
      <c r="H108" s="12" t="n">
        <v>2.211</v>
      </c>
      <c r="I108" s="12" t="n">
        <v>5</v>
      </c>
      <c r="J108" s="12" t="n">
        <v>384</v>
      </c>
      <c r="K108" s="12" t="n">
        <v>20.9</v>
      </c>
      <c r="L108" s="12" t="n">
        <v>395.67</v>
      </c>
      <c r="M108" s="12" t="n">
        <v>18.66</v>
      </c>
      <c r="N108" s="12" t="n">
        <v>19.5</v>
      </c>
    </row>
    <row r="109" customFormat="false" ht="15" hidden="false" customHeight="false" outlineLevel="0" collapsed="false">
      <c r="A109" s="14" t="n">
        <v>0.13117</v>
      </c>
      <c r="B109" s="14" t="n">
        <v>0</v>
      </c>
      <c r="C109" s="14" t="n">
        <v>8.56</v>
      </c>
      <c r="D109" s="15" t="n">
        <v>0</v>
      </c>
      <c r="E109" s="14" t="n">
        <v>0.52</v>
      </c>
      <c r="F109" s="14" t="n">
        <v>6.127</v>
      </c>
      <c r="G109" s="14" t="n">
        <v>85.2</v>
      </c>
      <c r="H109" s="14" t="n">
        <v>2.1224</v>
      </c>
      <c r="I109" s="14" t="n">
        <v>5</v>
      </c>
      <c r="J109" s="14" t="n">
        <v>384</v>
      </c>
      <c r="K109" s="14" t="n">
        <v>20.9</v>
      </c>
      <c r="L109" s="14" t="n">
        <v>387.69</v>
      </c>
      <c r="M109" s="14" t="n">
        <v>14.09</v>
      </c>
      <c r="N109" s="14" t="n">
        <v>20.4</v>
      </c>
    </row>
    <row r="110" customFormat="false" ht="15" hidden="false" customHeight="false" outlineLevel="0" collapsed="false">
      <c r="A110" s="12" t="n">
        <v>0.12802</v>
      </c>
      <c r="B110" s="12" t="n">
        <v>0</v>
      </c>
      <c r="C110" s="12" t="n">
        <v>8.56</v>
      </c>
      <c r="D110" s="13" t="n">
        <v>0</v>
      </c>
      <c r="E110" s="12" t="n">
        <v>0.52</v>
      </c>
      <c r="F110" s="12" t="n">
        <v>6.474</v>
      </c>
      <c r="G110" s="12" t="n">
        <v>97.1</v>
      </c>
      <c r="H110" s="12" t="n">
        <v>2.4329</v>
      </c>
      <c r="I110" s="12" t="n">
        <v>5</v>
      </c>
      <c r="J110" s="12" t="n">
        <v>384</v>
      </c>
      <c r="K110" s="12" t="n">
        <v>20.9</v>
      </c>
      <c r="L110" s="12" t="n">
        <v>395.24</v>
      </c>
      <c r="M110" s="12" t="n">
        <v>12.27</v>
      </c>
      <c r="N110" s="12" t="n">
        <v>19.8</v>
      </c>
    </row>
    <row r="111" customFormat="false" ht="15" hidden="false" customHeight="false" outlineLevel="0" collapsed="false">
      <c r="A111" s="14" t="n">
        <v>0.26363</v>
      </c>
      <c r="B111" s="14" t="n">
        <v>0</v>
      </c>
      <c r="C111" s="14" t="n">
        <v>8.56</v>
      </c>
      <c r="D111" s="15" t="n">
        <v>0</v>
      </c>
      <c r="E111" s="14" t="n">
        <v>0.52</v>
      </c>
      <c r="F111" s="14" t="n">
        <v>6.229</v>
      </c>
      <c r="G111" s="14" t="n">
        <v>91.2</v>
      </c>
      <c r="H111" s="14" t="n">
        <v>2.5451</v>
      </c>
      <c r="I111" s="14" t="n">
        <v>5</v>
      </c>
      <c r="J111" s="14" t="n">
        <v>384</v>
      </c>
      <c r="K111" s="14" t="n">
        <v>20.9</v>
      </c>
      <c r="L111" s="14" t="n">
        <v>391.23</v>
      </c>
      <c r="M111" s="14" t="n">
        <v>15.55</v>
      </c>
      <c r="N111" s="14" t="n">
        <v>19.4</v>
      </c>
    </row>
    <row r="112" customFormat="false" ht="15" hidden="false" customHeight="false" outlineLevel="0" collapsed="false">
      <c r="A112" s="12" t="n">
        <v>0.10793</v>
      </c>
      <c r="B112" s="12" t="n">
        <v>0</v>
      </c>
      <c r="C112" s="12" t="n">
        <v>8.56</v>
      </c>
      <c r="D112" s="13" t="n">
        <v>0</v>
      </c>
      <c r="E112" s="12" t="n">
        <v>0.52</v>
      </c>
      <c r="F112" s="12" t="n">
        <v>6.195</v>
      </c>
      <c r="G112" s="12" t="n">
        <v>54.4</v>
      </c>
      <c r="H112" s="12" t="n">
        <v>2.7778</v>
      </c>
      <c r="I112" s="12" t="n">
        <v>5</v>
      </c>
      <c r="J112" s="12" t="n">
        <v>384</v>
      </c>
      <c r="K112" s="12" t="n">
        <v>20.9</v>
      </c>
      <c r="L112" s="12" t="n">
        <v>393.49</v>
      </c>
      <c r="M112" s="12" t="n">
        <v>13</v>
      </c>
      <c r="N112" s="12" t="n">
        <v>21.7</v>
      </c>
    </row>
    <row r="113" customFormat="false" ht="15" hidden="false" customHeight="false" outlineLevel="0" collapsed="false">
      <c r="A113" s="14" t="n">
        <v>0.10084</v>
      </c>
      <c r="B113" s="14" t="n">
        <v>0</v>
      </c>
      <c r="C113" s="14" t="n">
        <v>10.01</v>
      </c>
      <c r="D113" s="15" t="n">
        <v>0</v>
      </c>
      <c r="E113" s="14" t="n">
        <v>0.547</v>
      </c>
      <c r="F113" s="14" t="n">
        <v>6.715</v>
      </c>
      <c r="G113" s="14" t="n">
        <v>81.6</v>
      </c>
      <c r="H113" s="14" t="n">
        <v>2.6775</v>
      </c>
      <c r="I113" s="14" t="n">
        <v>6</v>
      </c>
      <c r="J113" s="14" t="n">
        <v>432</v>
      </c>
      <c r="K113" s="14" t="n">
        <v>17.8</v>
      </c>
      <c r="L113" s="14" t="n">
        <v>395.59</v>
      </c>
      <c r="M113" s="14" t="n">
        <v>10.16</v>
      </c>
      <c r="N113" s="14" t="n">
        <v>22.8</v>
      </c>
    </row>
    <row r="114" customFormat="false" ht="15" hidden="false" customHeight="false" outlineLevel="0" collapsed="false">
      <c r="A114" s="12" t="n">
        <v>0.12329</v>
      </c>
      <c r="B114" s="12" t="n">
        <v>0</v>
      </c>
      <c r="C114" s="12" t="n">
        <v>10.01</v>
      </c>
      <c r="D114" s="13" t="n">
        <v>0</v>
      </c>
      <c r="E114" s="12" t="n">
        <v>0.547</v>
      </c>
      <c r="F114" s="12" t="n">
        <v>5.913</v>
      </c>
      <c r="G114" s="12" t="n">
        <v>92.9</v>
      </c>
      <c r="H114" s="12" t="n">
        <v>2.3534</v>
      </c>
      <c r="I114" s="12" t="n">
        <v>6</v>
      </c>
      <c r="J114" s="12" t="n">
        <v>432</v>
      </c>
      <c r="K114" s="12" t="n">
        <v>17.8</v>
      </c>
      <c r="L114" s="12" t="n">
        <v>394.95</v>
      </c>
      <c r="M114" s="12" t="n">
        <v>16.21</v>
      </c>
      <c r="N114" s="12" t="n">
        <v>18.8</v>
      </c>
    </row>
    <row r="115" customFormat="false" ht="15" hidden="false" customHeight="false" outlineLevel="0" collapsed="false">
      <c r="A115" s="14" t="n">
        <v>0.22212</v>
      </c>
      <c r="B115" s="14" t="n">
        <v>0</v>
      </c>
      <c r="C115" s="14" t="n">
        <v>10.01</v>
      </c>
      <c r="D115" s="15" t="n">
        <v>0</v>
      </c>
      <c r="E115" s="14" t="n">
        <v>0.547</v>
      </c>
      <c r="F115" s="14" t="n">
        <v>6.092</v>
      </c>
      <c r="G115" s="14" t="n">
        <v>95.4</v>
      </c>
      <c r="H115" s="14" t="n">
        <v>2.548</v>
      </c>
      <c r="I115" s="14" t="n">
        <v>6</v>
      </c>
      <c r="J115" s="14" t="n">
        <v>432</v>
      </c>
      <c r="K115" s="14" t="n">
        <v>17.8</v>
      </c>
      <c r="L115" s="14" t="n">
        <v>396.9</v>
      </c>
      <c r="M115" s="14" t="n">
        <v>17.09</v>
      </c>
      <c r="N115" s="14" t="n">
        <v>18.7</v>
      </c>
    </row>
    <row r="116" customFormat="false" ht="15" hidden="false" customHeight="false" outlineLevel="0" collapsed="false">
      <c r="A116" s="12" t="n">
        <v>0.14231</v>
      </c>
      <c r="B116" s="12" t="n">
        <v>0</v>
      </c>
      <c r="C116" s="12" t="n">
        <v>10.01</v>
      </c>
      <c r="D116" s="13" t="n">
        <v>0</v>
      </c>
      <c r="E116" s="12" t="n">
        <v>0.547</v>
      </c>
      <c r="F116" s="12" t="n">
        <v>6.254</v>
      </c>
      <c r="G116" s="12" t="n">
        <v>84.2</v>
      </c>
      <c r="H116" s="12" t="n">
        <v>2.2565</v>
      </c>
      <c r="I116" s="12" t="n">
        <v>6</v>
      </c>
      <c r="J116" s="12" t="n">
        <v>432</v>
      </c>
      <c r="K116" s="12" t="n">
        <v>17.8</v>
      </c>
      <c r="L116" s="12" t="n">
        <v>388.74</v>
      </c>
      <c r="M116" s="12" t="n">
        <v>10.45</v>
      </c>
      <c r="N116" s="12" t="n">
        <v>18.5</v>
      </c>
    </row>
    <row r="117" customFormat="false" ht="15" hidden="false" customHeight="false" outlineLevel="0" collapsed="false">
      <c r="A117" s="14" t="n">
        <v>0.17134</v>
      </c>
      <c r="B117" s="14" t="n">
        <v>0</v>
      </c>
      <c r="C117" s="14" t="n">
        <v>10.01</v>
      </c>
      <c r="D117" s="15" t="n">
        <v>0</v>
      </c>
      <c r="E117" s="14" t="n">
        <v>0.547</v>
      </c>
      <c r="F117" s="14" t="n">
        <v>5.928</v>
      </c>
      <c r="G117" s="14" t="n">
        <v>88.2</v>
      </c>
      <c r="H117" s="14" t="n">
        <v>2.4631</v>
      </c>
      <c r="I117" s="14" t="n">
        <v>6</v>
      </c>
      <c r="J117" s="14" t="n">
        <v>432</v>
      </c>
      <c r="K117" s="14" t="n">
        <v>17.8</v>
      </c>
      <c r="L117" s="14" t="n">
        <v>344.91</v>
      </c>
      <c r="M117" s="14" t="n">
        <v>15.76</v>
      </c>
      <c r="N117" s="14" t="n">
        <v>18.3</v>
      </c>
    </row>
    <row r="118" customFormat="false" ht="15" hidden="false" customHeight="false" outlineLevel="0" collapsed="false">
      <c r="A118" s="12" t="n">
        <v>0.13158</v>
      </c>
      <c r="B118" s="12" t="n">
        <v>0</v>
      </c>
      <c r="C118" s="12" t="n">
        <v>10.01</v>
      </c>
      <c r="D118" s="13" t="n">
        <v>0</v>
      </c>
      <c r="E118" s="12" t="n">
        <v>0.547</v>
      </c>
      <c r="F118" s="12" t="n">
        <v>6.176</v>
      </c>
      <c r="G118" s="12" t="n">
        <v>72.5</v>
      </c>
      <c r="H118" s="12" t="n">
        <v>2.7301</v>
      </c>
      <c r="I118" s="12" t="n">
        <v>6</v>
      </c>
      <c r="J118" s="12" t="n">
        <v>432</v>
      </c>
      <c r="K118" s="12" t="n">
        <v>17.8</v>
      </c>
      <c r="L118" s="12" t="n">
        <v>393.3</v>
      </c>
      <c r="M118" s="12" t="n">
        <v>12.04</v>
      </c>
      <c r="N118" s="12" t="n">
        <v>21.2</v>
      </c>
    </row>
    <row r="119" customFormat="false" ht="15" hidden="false" customHeight="false" outlineLevel="0" collapsed="false">
      <c r="A119" s="14" t="n">
        <v>0.15098</v>
      </c>
      <c r="B119" s="14" t="n">
        <v>0</v>
      </c>
      <c r="C119" s="14" t="n">
        <v>10.01</v>
      </c>
      <c r="D119" s="15" t="n">
        <v>0</v>
      </c>
      <c r="E119" s="14" t="n">
        <v>0.547</v>
      </c>
      <c r="F119" s="14" t="n">
        <v>6.021</v>
      </c>
      <c r="G119" s="14" t="n">
        <v>82.6</v>
      </c>
      <c r="H119" s="14" t="n">
        <v>2.7474</v>
      </c>
      <c r="I119" s="14" t="n">
        <v>6</v>
      </c>
      <c r="J119" s="14" t="n">
        <v>432</v>
      </c>
      <c r="K119" s="14" t="n">
        <v>17.8</v>
      </c>
      <c r="L119" s="14" t="n">
        <v>394.51</v>
      </c>
      <c r="M119" s="14" t="n">
        <v>10.3</v>
      </c>
      <c r="N119" s="14" t="n">
        <v>19.2</v>
      </c>
    </row>
    <row r="120" customFormat="false" ht="15" hidden="false" customHeight="false" outlineLevel="0" collapsed="false">
      <c r="A120" s="12" t="n">
        <v>0.13058</v>
      </c>
      <c r="B120" s="12" t="n">
        <v>0</v>
      </c>
      <c r="C120" s="12" t="n">
        <v>10.01</v>
      </c>
      <c r="D120" s="13" t="n">
        <v>0</v>
      </c>
      <c r="E120" s="12" t="n">
        <v>0.547</v>
      </c>
      <c r="F120" s="12" t="n">
        <v>5.872</v>
      </c>
      <c r="G120" s="12" t="n">
        <v>73.1</v>
      </c>
      <c r="H120" s="12" t="n">
        <v>2.4775</v>
      </c>
      <c r="I120" s="12" t="n">
        <v>6</v>
      </c>
      <c r="J120" s="12" t="n">
        <v>432</v>
      </c>
      <c r="K120" s="12" t="n">
        <v>17.8</v>
      </c>
      <c r="L120" s="12" t="n">
        <v>338.63</v>
      </c>
      <c r="M120" s="12" t="n">
        <v>15.37</v>
      </c>
      <c r="N120" s="12" t="n">
        <v>20.4</v>
      </c>
    </row>
    <row r="121" customFormat="false" ht="15" hidden="false" customHeight="false" outlineLevel="0" collapsed="false">
      <c r="A121" s="14" t="n">
        <v>0.14476</v>
      </c>
      <c r="B121" s="14" t="n">
        <v>0</v>
      </c>
      <c r="C121" s="14" t="n">
        <v>10.01</v>
      </c>
      <c r="D121" s="15" t="n">
        <v>0</v>
      </c>
      <c r="E121" s="14" t="n">
        <v>0.547</v>
      </c>
      <c r="F121" s="14" t="n">
        <v>5.731</v>
      </c>
      <c r="G121" s="14" t="n">
        <v>65.2</v>
      </c>
      <c r="H121" s="14" t="n">
        <v>2.7592</v>
      </c>
      <c r="I121" s="14" t="n">
        <v>6</v>
      </c>
      <c r="J121" s="14" t="n">
        <v>432</v>
      </c>
      <c r="K121" s="14" t="n">
        <v>17.8</v>
      </c>
      <c r="L121" s="14" t="n">
        <v>391.5</v>
      </c>
      <c r="M121" s="14" t="n">
        <v>13.61</v>
      </c>
      <c r="N121" s="14" t="n">
        <v>19.3</v>
      </c>
    </row>
    <row r="122" customFormat="false" ht="15" hidden="false" customHeight="false" outlineLevel="0" collapsed="false">
      <c r="A122" s="12" t="n">
        <v>0.06899</v>
      </c>
      <c r="B122" s="12" t="n">
        <v>0</v>
      </c>
      <c r="C122" s="12" t="n">
        <v>25.65</v>
      </c>
      <c r="D122" s="13" t="n">
        <v>0</v>
      </c>
      <c r="E122" s="12" t="n">
        <v>0.581</v>
      </c>
      <c r="F122" s="12" t="n">
        <v>5.87</v>
      </c>
      <c r="G122" s="12" t="n">
        <v>69.7</v>
      </c>
      <c r="H122" s="12" t="n">
        <v>2.2577</v>
      </c>
      <c r="I122" s="12" t="n">
        <v>2</v>
      </c>
      <c r="J122" s="12" t="n">
        <v>188</v>
      </c>
      <c r="K122" s="12" t="n">
        <v>19.1</v>
      </c>
      <c r="L122" s="12" t="n">
        <v>389.15</v>
      </c>
      <c r="M122" s="12" t="n">
        <v>14.37</v>
      </c>
      <c r="N122" s="12" t="n">
        <v>22</v>
      </c>
    </row>
    <row r="123" customFormat="false" ht="15" hidden="false" customHeight="false" outlineLevel="0" collapsed="false">
      <c r="A123" s="14" t="n">
        <v>0.07165</v>
      </c>
      <c r="B123" s="14" t="n">
        <v>0</v>
      </c>
      <c r="C123" s="14" t="n">
        <v>25.65</v>
      </c>
      <c r="D123" s="15" t="n">
        <v>0</v>
      </c>
      <c r="E123" s="14" t="n">
        <v>0.581</v>
      </c>
      <c r="F123" s="14" t="n">
        <v>6.004</v>
      </c>
      <c r="G123" s="14" t="n">
        <v>84.1</v>
      </c>
      <c r="H123" s="14" t="n">
        <v>2.1974</v>
      </c>
      <c r="I123" s="14" t="n">
        <v>2</v>
      </c>
      <c r="J123" s="14" t="n">
        <v>188</v>
      </c>
      <c r="K123" s="14" t="n">
        <v>19.1</v>
      </c>
      <c r="L123" s="14" t="n">
        <v>377.67</v>
      </c>
      <c r="M123" s="14" t="n">
        <v>14.27</v>
      </c>
      <c r="N123" s="14" t="n">
        <v>20.3</v>
      </c>
    </row>
    <row r="124" customFormat="false" ht="15" hidden="false" customHeight="false" outlineLevel="0" collapsed="false">
      <c r="A124" s="12" t="n">
        <v>0.09299</v>
      </c>
      <c r="B124" s="12" t="n">
        <v>0</v>
      </c>
      <c r="C124" s="12" t="n">
        <v>25.65</v>
      </c>
      <c r="D124" s="13" t="n">
        <v>0</v>
      </c>
      <c r="E124" s="12" t="n">
        <v>0.581</v>
      </c>
      <c r="F124" s="12" t="n">
        <v>5.961</v>
      </c>
      <c r="G124" s="12" t="n">
        <v>92.9</v>
      </c>
      <c r="H124" s="12" t="n">
        <v>2.0869</v>
      </c>
      <c r="I124" s="12" t="n">
        <v>2</v>
      </c>
      <c r="J124" s="12" t="n">
        <v>188</v>
      </c>
      <c r="K124" s="12" t="n">
        <v>19.1</v>
      </c>
      <c r="L124" s="12" t="n">
        <v>378.09</v>
      </c>
      <c r="M124" s="12" t="n">
        <v>17.93</v>
      </c>
      <c r="N124" s="12" t="n">
        <v>20.5</v>
      </c>
    </row>
    <row r="125" customFormat="false" ht="15" hidden="false" customHeight="false" outlineLevel="0" collapsed="false">
      <c r="A125" s="14" t="n">
        <v>0.15038</v>
      </c>
      <c r="B125" s="14" t="n">
        <v>0</v>
      </c>
      <c r="C125" s="14" t="n">
        <v>25.65</v>
      </c>
      <c r="D125" s="15" t="n">
        <v>0</v>
      </c>
      <c r="E125" s="14" t="n">
        <v>0.581</v>
      </c>
      <c r="F125" s="14" t="n">
        <v>5.856</v>
      </c>
      <c r="G125" s="14" t="n">
        <v>97</v>
      </c>
      <c r="H125" s="14" t="n">
        <v>1.9444</v>
      </c>
      <c r="I125" s="14" t="n">
        <v>2</v>
      </c>
      <c r="J125" s="14" t="n">
        <v>188</v>
      </c>
      <c r="K125" s="14" t="n">
        <v>19.1</v>
      </c>
      <c r="L125" s="14" t="n">
        <v>370.31</v>
      </c>
      <c r="M125" s="14" t="n">
        <v>25.41</v>
      </c>
      <c r="N125" s="14" t="n">
        <v>17.3</v>
      </c>
    </row>
    <row r="126" customFormat="false" ht="15" hidden="false" customHeight="false" outlineLevel="0" collapsed="false">
      <c r="A126" s="12" t="n">
        <v>0.09849</v>
      </c>
      <c r="B126" s="12" t="n">
        <v>0</v>
      </c>
      <c r="C126" s="12" t="n">
        <v>25.65</v>
      </c>
      <c r="D126" s="13" t="n">
        <v>0</v>
      </c>
      <c r="E126" s="12" t="n">
        <v>0.581</v>
      </c>
      <c r="F126" s="12" t="n">
        <v>5.879</v>
      </c>
      <c r="G126" s="12" t="n">
        <v>95.8</v>
      </c>
      <c r="H126" s="12" t="n">
        <v>2.0063</v>
      </c>
      <c r="I126" s="12" t="n">
        <v>2</v>
      </c>
      <c r="J126" s="12" t="n">
        <v>188</v>
      </c>
      <c r="K126" s="12" t="n">
        <v>19.1</v>
      </c>
      <c r="L126" s="12" t="n">
        <v>379.38</v>
      </c>
      <c r="M126" s="12" t="n">
        <v>17.58</v>
      </c>
      <c r="N126" s="12" t="n">
        <v>18.8</v>
      </c>
    </row>
    <row r="127" customFormat="false" ht="15" hidden="false" customHeight="false" outlineLevel="0" collapsed="false">
      <c r="A127" s="14" t="n">
        <v>0.16902</v>
      </c>
      <c r="B127" s="14" t="n">
        <v>0</v>
      </c>
      <c r="C127" s="14" t="n">
        <v>25.65</v>
      </c>
      <c r="D127" s="15" t="n">
        <v>0</v>
      </c>
      <c r="E127" s="14" t="n">
        <v>0.581</v>
      </c>
      <c r="F127" s="14" t="n">
        <v>5.986</v>
      </c>
      <c r="G127" s="14" t="n">
        <v>88.4</v>
      </c>
      <c r="H127" s="14" t="n">
        <v>1.9929</v>
      </c>
      <c r="I127" s="14" t="n">
        <v>2</v>
      </c>
      <c r="J127" s="14" t="n">
        <v>188</v>
      </c>
      <c r="K127" s="14" t="n">
        <v>19.1</v>
      </c>
      <c r="L127" s="14" t="n">
        <v>385.02</v>
      </c>
      <c r="M127" s="14" t="n">
        <v>14.81</v>
      </c>
      <c r="N127" s="14" t="n">
        <v>21.4</v>
      </c>
    </row>
    <row r="128" customFormat="false" ht="15" hidden="false" customHeight="false" outlineLevel="0" collapsed="false">
      <c r="A128" s="12" t="n">
        <v>0.38735</v>
      </c>
      <c r="B128" s="12" t="n">
        <v>0</v>
      </c>
      <c r="C128" s="12" t="n">
        <v>25.65</v>
      </c>
      <c r="D128" s="13" t="n">
        <v>0</v>
      </c>
      <c r="E128" s="12" t="n">
        <v>0.581</v>
      </c>
      <c r="F128" s="12" t="n">
        <v>5.613</v>
      </c>
      <c r="G128" s="12" t="n">
        <v>95.6</v>
      </c>
      <c r="H128" s="12" t="n">
        <v>1.7572</v>
      </c>
      <c r="I128" s="12" t="n">
        <v>2</v>
      </c>
      <c r="J128" s="12" t="n">
        <v>188</v>
      </c>
      <c r="K128" s="12" t="n">
        <v>19.1</v>
      </c>
      <c r="L128" s="12" t="n">
        <v>359.29</v>
      </c>
      <c r="M128" s="12" t="n">
        <v>27.26</v>
      </c>
      <c r="N128" s="12" t="n">
        <v>15.7</v>
      </c>
    </row>
    <row r="129" customFormat="false" ht="15" hidden="false" customHeight="false" outlineLevel="0" collapsed="false">
      <c r="A129" s="14" t="n">
        <v>0.25915</v>
      </c>
      <c r="B129" s="14" t="n">
        <v>0</v>
      </c>
      <c r="C129" s="14" t="n">
        <v>21.89</v>
      </c>
      <c r="D129" s="15" t="n">
        <v>0</v>
      </c>
      <c r="E129" s="14" t="n">
        <v>0.624</v>
      </c>
      <c r="F129" s="14" t="n">
        <v>5.693</v>
      </c>
      <c r="G129" s="14" t="n">
        <v>96</v>
      </c>
      <c r="H129" s="14" t="n">
        <v>1.7883</v>
      </c>
      <c r="I129" s="14" t="n">
        <v>4</v>
      </c>
      <c r="J129" s="14" t="n">
        <v>437</v>
      </c>
      <c r="K129" s="14" t="n">
        <v>21.2</v>
      </c>
      <c r="L129" s="14" t="n">
        <v>392.11</v>
      </c>
      <c r="M129" s="14" t="n">
        <v>17.19</v>
      </c>
      <c r="N129" s="14" t="n">
        <v>16.2</v>
      </c>
    </row>
    <row r="130" customFormat="false" ht="15" hidden="false" customHeight="false" outlineLevel="0" collapsed="false">
      <c r="A130" s="12" t="n">
        <v>0.32543</v>
      </c>
      <c r="B130" s="12" t="n">
        <v>0</v>
      </c>
      <c r="C130" s="12" t="n">
        <v>21.89</v>
      </c>
      <c r="D130" s="13" t="n">
        <v>0</v>
      </c>
      <c r="E130" s="12" t="n">
        <v>0.624</v>
      </c>
      <c r="F130" s="12" t="n">
        <v>6.431</v>
      </c>
      <c r="G130" s="12" t="n">
        <v>98.8</v>
      </c>
      <c r="H130" s="12" t="n">
        <v>1.8125</v>
      </c>
      <c r="I130" s="12" t="n">
        <v>4</v>
      </c>
      <c r="J130" s="12" t="n">
        <v>437</v>
      </c>
      <c r="K130" s="12" t="n">
        <v>21.2</v>
      </c>
      <c r="L130" s="12" t="n">
        <v>396.9</v>
      </c>
      <c r="M130" s="12" t="n">
        <v>15.39</v>
      </c>
      <c r="N130" s="12" t="n">
        <v>18</v>
      </c>
    </row>
    <row r="131" customFormat="false" ht="15" hidden="false" customHeight="false" outlineLevel="0" collapsed="false">
      <c r="A131" s="14" t="n">
        <v>0.88125</v>
      </c>
      <c r="B131" s="14" t="n">
        <v>0</v>
      </c>
      <c r="C131" s="14" t="n">
        <v>21.89</v>
      </c>
      <c r="D131" s="15" t="n">
        <v>0</v>
      </c>
      <c r="E131" s="14" t="n">
        <v>0.624</v>
      </c>
      <c r="F131" s="14" t="n">
        <v>5.637</v>
      </c>
      <c r="G131" s="14" t="n">
        <v>94.7</v>
      </c>
      <c r="H131" s="14" t="n">
        <v>1.9799</v>
      </c>
      <c r="I131" s="14" t="n">
        <v>4</v>
      </c>
      <c r="J131" s="14" t="n">
        <v>437</v>
      </c>
      <c r="K131" s="14" t="n">
        <v>21.2</v>
      </c>
      <c r="L131" s="14" t="n">
        <v>396.9</v>
      </c>
      <c r="M131" s="14" t="n">
        <v>18.34</v>
      </c>
      <c r="N131" s="14" t="n">
        <v>14.3</v>
      </c>
    </row>
    <row r="132" customFormat="false" ht="15" hidden="false" customHeight="false" outlineLevel="0" collapsed="false">
      <c r="A132" s="12" t="n">
        <v>0.34006</v>
      </c>
      <c r="B132" s="12" t="n">
        <v>0</v>
      </c>
      <c r="C132" s="12" t="n">
        <v>21.89</v>
      </c>
      <c r="D132" s="13" t="n">
        <v>0</v>
      </c>
      <c r="E132" s="12" t="n">
        <v>0.624</v>
      </c>
      <c r="F132" s="12" t="n">
        <v>6.458</v>
      </c>
      <c r="G132" s="12" t="n">
        <v>98.9</v>
      </c>
      <c r="H132" s="12" t="n">
        <v>2.1185</v>
      </c>
      <c r="I132" s="12" t="n">
        <v>4</v>
      </c>
      <c r="J132" s="12" t="n">
        <v>437</v>
      </c>
      <c r="K132" s="12" t="n">
        <v>21.2</v>
      </c>
      <c r="L132" s="12" t="n">
        <v>395.04</v>
      </c>
      <c r="M132" s="12" t="n">
        <v>12.6</v>
      </c>
      <c r="N132" s="12" t="n">
        <v>19.2</v>
      </c>
    </row>
    <row r="133" customFormat="false" ht="15" hidden="false" customHeight="false" outlineLevel="0" collapsed="false">
      <c r="A133" s="14" t="n">
        <v>1.19294</v>
      </c>
      <c r="B133" s="14" t="n">
        <v>0</v>
      </c>
      <c r="C133" s="14" t="n">
        <v>21.89</v>
      </c>
      <c r="D133" s="15" t="n">
        <v>0</v>
      </c>
      <c r="E133" s="14" t="n">
        <v>0.624</v>
      </c>
      <c r="F133" s="14" t="n">
        <v>6.326</v>
      </c>
      <c r="G133" s="14" t="n">
        <v>97.7</v>
      </c>
      <c r="H133" s="14" t="n">
        <v>2.271</v>
      </c>
      <c r="I133" s="14" t="n">
        <v>4</v>
      </c>
      <c r="J133" s="14" t="n">
        <v>437</v>
      </c>
      <c r="K133" s="14" t="n">
        <v>21.2</v>
      </c>
      <c r="L133" s="14" t="n">
        <v>396.9</v>
      </c>
      <c r="M133" s="14" t="n">
        <v>12.26</v>
      </c>
      <c r="N133" s="14" t="n">
        <v>19.6</v>
      </c>
    </row>
    <row r="134" customFormat="false" ht="15" hidden="false" customHeight="false" outlineLevel="0" collapsed="false">
      <c r="A134" s="12" t="n">
        <v>0.59005</v>
      </c>
      <c r="B134" s="12" t="n">
        <v>0</v>
      </c>
      <c r="C134" s="12" t="n">
        <v>21.89</v>
      </c>
      <c r="D134" s="13" t="n">
        <v>0</v>
      </c>
      <c r="E134" s="12" t="n">
        <v>0.624</v>
      </c>
      <c r="F134" s="12" t="n">
        <v>6.372</v>
      </c>
      <c r="G134" s="12" t="n">
        <v>97.9</v>
      </c>
      <c r="H134" s="12" t="n">
        <v>2.3274</v>
      </c>
      <c r="I134" s="12" t="n">
        <v>4</v>
      </c>
      <c r="J134" s="12" t="n">
        <v>437</v>
      </c>
      <c r="K134" s="12" t="n">
        <v>21.2</v>
      </c>
      <c r="L134" s="12" t="n">
        <v>385.76</v>
      </c>
      <c r="M134" s="12" t="n">
        <v>11.12</v>
      </c>
      <c r="N134" s="12" t="n">
        <v>23</v>
      </c>
    </row>
    <row r="135" customFormat="false" ht="15" hidden="false" customHeight="false" outlineLevel="0" collapsed="false">
      <c r="A135" s="14" t="n">
        <v>0.32982</v>
      </c>
      <c r="B135" s="14" t="n">
        <v>0</v>
      </c>
      <c r="C135" s="14" t="n">
        <v>21.89</v>
      </c>
      <c r="D135" s="15" t="n">
        <v>0</v>
      </c>
      <c r="E135" s="14" t="n">
        <v>0.624</v>
      </c>
      <c r="F135" s="14" t="n">
        <v>5.822</v>
      </c>
      <c r="G135" s="14" t="n">
        <v>95.4</v>
      </c>
      <c r="H135" s="14" t="n">
        <v>2.4699</v>
      </c>
      <c r="I135" s="14" t="n">
        <v>4</v>
      </c>
      <c r="J135" s="14" t="n">
        <v>437</v>
      </c>
      <c r="K135" s="14" t="n">
        <v>21.2</v>
      </c>
      <c r="L135" s="14" t="n">
        <v>388.69</v>
      </c>
      <c r="M135" s="14" t="n">
        <v>15.03</v>
      </c>
      <c r="N135" s="14" t="n">
        <v>18.4</v>
      </c>
    </row>
    <row r="136" customFormat="false" ht="15" hidden="false" customHeight="false" outlineLevel="0" collapsed="false">
      <c r="A136" s="12" t="n">
        <v>0.97617</v>
      </c>
      <c r="B136" s="12" t="n">
        <v>0</v>
      </c>
      <c r="C136" s="12" t="n">
        <v>21.89</v>
      </c>
      <c r="D136" s="13" t="n">
        <v>0</v>
      </c>
      <c r="E136" s="12" t="n">
        <v>0.624</v>
      </c>
      <c r="F136" s="12" t="n">
        <v>5.757</v>
      </c>
      <c r="G136" s="12" t="n">
        <v>98.4</v>
      </c>
      <c r="H136" s="12" t="n">
        <v>2.346</v>
      </c>
      <c r="I136" s="12" t="n">
        <v>4</v>
      </c>
      <c r="J136" s="12" t="n">
        <v>437</v>
      </c>
      <c r="K136" s="12" t="n">
        <v>21.2</v>
      </c>
      <c r="L136" s="12" t="n">
        <v>262.76</v>
      </c>
      <c r="M136" s="12" t="n">
        <v>17.31</v>
      </c>
      <c r="N136" s="12" t="n">
        <v>15.6</v>
      </c>
    </row>
    <row r="137" customFormat="false" ht="15" hidden="false" customHeight="false" outlineLevel="0" collapsed="false">
      <c r="A137" s="14" t="n">
        <v>0.55778</v>
      </c>
      <c r="B137" s="14" t="n">
        <v>0</v>
      </c>
      <c r="C137" s="14" t="n">
        <v>21.89</v>
      </c>
      <c r="D137" s="15" t="n">
        <v>0</v>
      </c>
      <c r="E137" s="14" t="n">
        <v>0.624</v>
      </c>
      <c r="F137" s="14" t="n">
        <v>6.335</v>
      </c>
      <c r="G137" s="14" t="n">
        <v>98.2</v>
      </c>
      <c r="H137" s="14" t="n">
        <v>2.1107</v>
      </c>
      <c r="I137" s="14" t="n">
        <v>4</v>
      </c>
      <c r="J137" s="14" t="n">
        <v>437</v>
      </c>
      <c r="K137" s="14" t="n">
        <v>21.2</v>
      </c>
      <c r="L137" s="14" t="n">
        <v>394.67</v>
      </c>
      <c r="M137" s="14" t="n">
        <v>16.96</v>
      </c>
      <c r="N137" s="14" t="n">
        <v>18.1</v>
      </c>
    </row>
    <row r="138" customFormat="false" ht="15" hidden="false" customHeight="false" outlineLevel="0" collapsed="false">
      <c r="A138" s="12" t="n">
        <v>0.32264</v>
      </c>
      <c r="B138" s="12" t="n">
        <v>0</v>
      </c>
      <c r="C138" s="12" t="n">
        <v>21.89</v>
      </c>
      <c r="D138" s="13" t="n">
        <v>0</v>
      </c>
      <c r="E138" s="12" t="n">
        <v>0.624</v>
      </c>
      <c r="F138" s="12" t="n">
        <v>5.942</v>
      </c>
      <c r="G138" s="12" t="n">
        <v>93.5</v>
      </c>
      <c r="H138" s="12" t="n">
        <v>1.9669</v>
      </c>
      <c r="I138" s="12" t="n">
        <v>4</v>
      </c>
      <c r="J138" s="12" t="n">
        <v>437</v>
      </c>
      <c r="K138" s="12" t="n">
        <v>21.2</v>
      </c>
      <c r="L138" s="12" t="n">
        <v>378.25</v>
      </c>
      <c r="M138" s="12" t="n">
        <v>16.9</v>
      </c>
      <c r="N138" s="12" t="n">
        <v>17.4</v>
      </c>
    </row>
    <row r="139" customFormat="false" ht="15" hidden="false" customHeight="false" outlineLevel="0" collapsed="false">
      <c r="A139" s="14" t="n">
        <v>0.35233</v>
      </c>
      <c r="B139" s="14" t="n">
        <v>0</v>
      </c>
      <c r="C139" s="14" t="n">
        <v>21.89</v>
      </c>
      <c r="D139" s="15" t="n">
        <v>0</v>
      </c>
      <c r="E139" s="14" t="n">
        <v>0.624</v>
      </c>
      <c r="F139" s="14" t="n">
        <v>6.454</v>
      </c>
      <c r="G139" s="14" t="n">
        <v>98.4</v>
      </c>
      <c r="H139" s="14" t="n">
        <v>1.8498</v>
      </c>
      <c r="I139" s="14" t="n">
        <v>4</v>
      </c>
      <c r="J139" s="14" t="n">
        <v>437</v>
      </c>
      <c r="K139" s="14" t="n">
        <v>21.2</v>
      </c>
      <c r="L139" s="14" t="n">
        <v>394.08</v>
      </c>
      <c r="M139" s="14" t="n">
        <v>14.59</v>
      </c>
      <c r="N139" s="14" t="n">
        <v>17.1</v>
      </c>
    </row>
    <row r="140" customFormat="false" ht="15" hidden="false" customHeight="false" outlineLevel="0" collapsed="false">
      <c r="A140" s="12" t="n">
        <v>0.2498</v>
      </c>
      <c r="B140" s="12" t="n">
        <v>0</v>
      </c>
      <c r="C140" s="12" t="n">
        <v>21.89</v>
      </c>
      <c r="D140" s="13" t="n">
        <v>0</v>
      </c>
      <c r="E140" s="12" t="n">
        <v>0.624</v>
      </c>
      <c r="F140" s="12" t="n">
        <v>5.857</v>
      </c>
      <c r="G140" s="12" t="n">
        <v>98.2</v>
      </c>
      <c r="H140" s="12" t="n">
        <v>1.6686</v>
      </c>
      <c r="I140" s="12" t="n">
        <v>4</v>
      </c>
      <c r="J140" s="12" t="n">
        <v>437</v>
      </c>
      <c r="K140" s="12" t="n">
        <v>21.2</v>
      </c>
      <c r="L140" s="12" t="n">
        <v>392.04</v>
      </c>
      <c r="M140" s="12" t="n">
        <v>21.32</v>
      </c>
      <c r="N140" s="12" t="n">
        <v>13.3</v>
      </c>
    </row>
    <row r="141" customFormat="false" ht="15" hidden="false" customHeight="false" outlineLevel="0" collapsed="false">
      <c r="A141" s="14" t="n">
        <v>0.54452</v>
      </c>
      <c r="B141" s="14" t="n">
        <v>0</v>
      </c>
      <c r="C141" s="14" t="n">
        <v>21.89</v>
      </c>
      <c r="D141" s="15" t="n">
        <v>0</v>
      </c>
      <c r="E141" s="14" t="n">
        <v>0.624</v>
      </c>
      <c r="F141" s="14" t="n">
        <v>6.151</v>
      </c>
      <c r="G141" s="14" t="n">
        <v>97.9</v>
      </c>
      <c r="H141" s="14" t="n">
        <v>1.6687</v>
      </c>
      <c r="I141" s="14" t="n">
        <v>4</v>
      </c>
      <c r="J141" s="14" t="n">
        <v>437</v>
      </c>
      <c r="K141" s="14" t="n">
        <v>21.2</v>
      </c>
      <c r="L141" s="14" t="n">
        <v>396.9</v>
      </c>
      <c r="M141" s="14" t="n">
        <v>18.46</v>
      </c>
      <c r="N141" s="14" t="n">
        <v>17.8</v>
      </c>
    </row>
    <row r="142" customFormat="false" ht="15" hidden="false" customHeight="false" outlineLevel="0" collapsed="false">
      <c r="A142" s="12" t="n">
        <v>0.2909</v>
      </c>
      <c r="B142" s="12" t="n">
        <v>0</v>
      </c>
      <c r="C142" s="12" t="n">
        <v>21.89</v>
      </c>
      <c r="D142" s="13" t="n">
        <v>0</v>
      </c>
      <c r="E142" s="12" t="n">
        <v>0.624</v>
      </c>
      <c r="F142" s="12" t="n">
        <v>6.174</v>
      </c>
      <c r="G142" s="12" t="n">
        <v>93.6</v>
      </c>
      <c r="H142" s="12" t="n">
        <v>1.6119</v>
      </c>
      <c r="I142" s="12" t="n">
        <v>4</v>
      </c>
      <c r="J142" s="12" t="n">
        <v>437</v>
      </c>
      <c r="K142" s="12" t="n">
        <v>21.2</v>
      </c>
      <c r="L142" s="12" t="n">
        <v>388.08</v>
      </c>
      <c r="M142" s="12" t="n">
        <v>24.16</v>
      </c>
      <c r="N142" s="12" t="n">
        <v>14</v>
      </c>
    </row>
    <row r="143" customFormat="false" ht="15" hidden="false" customHeight="false" outlineLevel="0" collapsed="false">
      <c r="A143" s="14" t="n">
        <v>1.62864</v>
      </c>
      <c r="B143" s="14" t="n">
        <v>0</v>
      </c>
      <c r="C143" s="14" t="n">
        <v>21.89</v>
      </c>
      <c r="D143" s="15" t="n">
        <v>0</v>
      </c>
      <c r="E143" s="14" t="n">
        <v>0.624</v>
      </c>
      <c r="F143" s="14" t="n">
        <v>5.019</v>
      </c>
      <c r="G143" s="14" t="n">
        <v>100</v>
      </c>
      <c r="H143" s="14" t="n">
        <v>1.4394</v>
      </c>
      <c r="I143" s="14" t="n">
        <v>4</v>
      </c>
      <c r="J143" s="14" t="n">
        <v>437</v>
      </c>
      <c r="K143" s="14" t="n">
        <v>21.2</v>
      </c>
      <c r="L143" s="14" t="n">
        <v>396.9</v>
      </c>
      <c r="M143" s="14" t="n">
        <v>34.41</v>
      </c>
      <c r="N143" s="14" t="n">
        <v>14.4</v>
      </c>
    </row>
    <row r="144" customFormat="false" ht="15" hidden="false" customHeight="false" outlineLevel="0" collapsed="false">
      <c r="A144" s="12" t="n">
        <v>3.32105</v>
      </c>
      <c r="B144" s="12" t="n">
        <v>0</v>
      </c>
      <c r="C144" s="12" t="n">
        <v>19.58</v>
      </c>
      <c r="D144" s="13" t="n">
        <v>1</v>
      </c>
      <c r="E144" s="12" t="n">
        <v>0.871</v>
      </c>
      <c r="F144" s="12" t="n">
        <v>5.403</v>
      </c>
      <c r="G144" s="12" t="n">
        <v>100</v>
      </c>
      <c r="H144" s="12" t="n">
        <v>1.3216</v>
      </c>
      <c r="I144" s="12" t="n">
        <v>5</v>
      </c>
      <c r="J144" s="12" t="n">
        <v>403</v>
      </c>
      <c r="K144" s="12" t="n">
        <v>14.7</v>
      </c>
      <c r="L144" s="12" t="n">
        <v>396.9</v>
      </c>
      <c r="M144" s="12" t="n">
        <v>26.82</v>
      </c>
      <c r="N144" s="12" t="n">
        <v>13.4</v>
      </c>
    </row>
    <row r="145" customFormat="false" ht="15" hidden="false" customHeight="false" outlineLevel="0" collapsed="false">
      <c r="A145" s="14" t="n">
        <v>4.0974</v>
      </c>
      <c r="B145" s="14" t="n">
        <v>0</v>
      </c>
      <c r="C145" s="14" t="n">
        <v>19.58</v>
      </c>
      <c r="D145" s="15" t="n">
        <v>0</v>
      </c>
      <c r="E145" s="14" t="n">
        <v>0.871</v>
      </c>
      <c r="F145" s="14" t="n">
        <v>5.468</v>
      </c>
      <c r="G145" s="14" t="n">
        <v>100</v>
      </c>
      <c r="H145" s="14" t="n">
        <v>1.4118</v>
      </c>
      <c r="I145" s="14" t="n">
        <v>5</v>
      </c>
      <c r="J145" s="14" t="n">
        <v>403</v>
      </c>
      <c r="K145" s="14" t="n">
        <v>14.7</v>
      </c>
      <c r="L145" s="14" t="n">
        <v>396.9</v>
      </c>
      <c r="M145" s="14" t="n">
        <v>26.42</v>
      </c>
      <c r="N145" s="14" t="n">
        <v>15.6</v>
      </c>
    </row>
    <row r="146" customFormat="false" ht="15" hidden="false" customHeight="false" outlineLevel="0" collapsed="false">
      <c r="A146" s="12" t="n">
        <v>2.77974</v>
      </c>
      <c r="B146" s="12" t="n">
        <v>0</v>
      </c>
      <c r="C146" s="12" t="n">
        <v>19.58</v>
      </c>
      <c r="D146" s="13" t="n">
        <v>0</v>
      </c>
      <c r="E146" s="12" t="n">
        <v>0.871</v>
      </c>
      <c r="F146" s="12" t="n">
        <v>4.903</v>
      </c>
      <c r="G146" s="12" t="n">
        <v>97.8</v>
      </c>
      <c r="H146" s="12" t="n">
        <v>1.3459</v>
      </c>
      <c r="I146" s="12" t="n">
        <v>5</v>
      </c>
      <c r="J146" s="12" t="n">
        <v>403</v>
      </c>
      <c r="K146" s="12" t="n">
        <v>14.7</v>
      </c>
      <c r="L146" s="12" t="n">
        <v>396.9</v>
      </c>
      <c r="M146" s="12" t="n">
        <v>29.29</v>
      </c>
      <c r="N146" s="12" t="n">
        <v>11.8</v>
      </c>
    </row>
    <row r="147" customFormat="false" ht="15" hidden="false" customHeight="false" outlineLevel="0" collapsed="false">
      <c r="A147" s="14" t="n">
        <v>2.37934</v>
      </c>
      <c r="B147" s="14" t="n">
        <v>0</v>
      </c>
      <c r="C147" s="14" t="n">
        <v>19.58</v>
      </c>
      <c r="D147" s="15" t="n">
        <v>0</v>
      </c>
      <c r="E147" s="14" t="n">
        <v>0.871</v>
      </c>
      <c r="F147" s="14" t="n">
        <v>6.13</v>
      </c>
      <c r="G147" s="14" t="n">
        <v>100</v>
      </c>
      <c r="H147" s="14" t="n">
        <v>1.4191</v>
      </c>
      <c r="I147" s="14" t="n">
        <v>5</v>
      </c>
      <c r="J147" s="14" t="n">
        <v>403</v>
      </c>
      <c r="K147" s="14" t="n">
        <v>14.7</v>
      </c>
      <c r="L147" s="14" t="n">
        <v>172.91</v>
      </c>
      <c r="M147" s="14" t="n">
        <v>27.8</v>
      </c>
      <c r="N147" s="14" t="n">
        <v>13.8</v>
      </c>
    </row>
    <row r="148" customFormat="false" ht="15" hidden="false" customHeight="false" outlineLevel="0" collapsed="false">
      <c r="A148" s="12" t="n">
        <v>2.15505</v>
      </c>
      <c r="B148" s="12" t="n">
        <v>0</v>
      </c>
      <c r="C148" s="12" t="n">
        <v>19.58</v>
      </c>
      <c r="D148" s="13" t="n">
        <v>0</v>
      </c>
      <c r="E148" s="12" t="n">
        <v>0.871</v>
      </c>
      <c r="F148" s="12" t="n">
        <v>5.628</v>
      </c>
      <c r="G148" s="12" t="n">
        <v>100</v>
      </c>
      <c r="H148" s="12" t="n">
        <v>1.5166</v>
      </c>
      <c r="I148" s="12" t="n">
        <v>5</v>
      </c>
      <c r="J148" s="12" t="n">
        <v>403</v>
      </c>
      <c r="K148" s="12" t="n">
        <v>14.7</v>
      </c>
      <c r="L148" s="12" t="n">
        <v>169.27</v>
      </c>
      <c r="M148" s="12" t="n">
        <v>16.65</v>
      </c>
      <c r="N148" s="12" t="n">
        <v>15.6</v>
      </c>
    </row>
    <row r="149" customFormat="false" ht="15" hidden="false" customHeight="false" outlineLevel="0" collapsed="false">
      <c r="A149" s="14" t="n">
        <v>2.36862</v>
      </c>
      <c r="B149" s="14" t="n">
        <v>0</v>
      </c>
      <c r="C149" s="14" t="n">
        <v>19.58</v>
      </c>
      <c r="D149" s="15" t="n">
        <v>0</v>
      </c>
      <c r="E149" s="14" t="n">
        <v>0.871</v>
      </c>
      <c r="F149" s="14" t="n">
        <v>4.926</v>
      </c>
      <c r="G149" s="14" t="n">
        <v>95.7</v>
      </c>
      <c r="H149" s="14" t="n">
        <v>1.4608</v>
      </c>
      <c r="I149" s="14" t="n">
        <v>5</v>
      </c>
      <c r="J149" s="14" t="n">
        <v>403</v>
      </c>
      <c r="K149" s="14" t="n">
        <v>14.7</v>
      </c>
      <c r="L149" s="14" t="n">
        <v>391.71</v>
      </c>
      <c r="M149" s="14" t="n">
        <v>29.53</v>
      </c>
      <c r="N149" s="14" t="n">
        <v>14.6</v>
      </c>
    </row>
    <row r="150" customFormat="false" ht="15" hidden="false" customHeight="false" outlineLevel="0" collapsed="false">
      <c r="A150" s="12" t="n">
        <v>2.33099</v>
      </c>
      <c r="B150" s="12" t="n">
        <v>0</v>
      </c>
      <c r="C150" s="12" t="n">
        <v>19.58</v>
      </c>
      <c r="D150" s="13" t="n">
        <v>0</v>
      </c>
      <c r="E150" s="12" t="n">
        <v>0.871</v>
      </c>
      <c r="F150" s="12" t="n">
        <v>5.186</v>
      </c>
      <c r="G150" s="12" t="n">
        <v>93.8</v>
      </c>
      <c r="H150" s="12" t="n">
        <v>1.5296</v>
      </c>
      <c r="I150" s="12" t="n">
        <v>5</v>
      </c>
      <c r="J150" s="12" t="n">
        <v>403</v>
      </c>
      <c r="K150" s="12" t="n">
        <v>14.7</v>
      </c>
      <c r="L150" s="12" t="n">
        <v>356.99</v>
      </c>
      <c r="M150" s="12" t="n">
        <v>28.32</v>
      </c>
      <c r="N150" s="12" t="n">
        <v>17.8</v>
      </c>
    </row>
    <row r="151" customFormat="false" ht="15" hidden="false" customHeight="false" outlineLevel="0" collapsed="false">
      <c r="A151" s="14" t="n">
        <v>2.73397</v>
      </c>
      <c r="B151" s="14" t="n">
        <v>0</v>
      </c>
      <c r="C151" s="14" t="n">
        <v>19.58</v>
      </c>
      <c r="D151" s="15" t="n">
        <v>0</v>
      </c>
      <c r="E151" s="14" t="n">
        <v>0.871</v>
      </c>
      <c r="F151" s="14" t="n">
        <v>5.597</v>
      </c>
      <c r="G151" s="14" t="n">
        <v>94.9</v>
      </c>
      <c r="H151" s="14" t="n">
        <v>1.5257</v>
      </c>
      <c r="I151" s="14" t="n">
        <v>5</v>
      </c>
      <c r="J151" s="14" t="n">
        <v>403</v>
      </c>
      <c r="K151" s="14" t="n">
        <v>14.7</v>
      </c>
      <c r="L151" s="14" t="n">
        <v>351.85</v>
      </c>
      <c r="M151" s="14" t="n">
        <v>21.45</v>
      </c>
      <c r="N151" s="14" t="n">
        <v>15.4</v>
      </c>
    </row>
    <row r="152" customFormat="false" ht="15" hidden="false" customHeight="false" outlineLevel="0" collapsed="false">
      <c r="A152" s="12" t="n">
        <v>1.6566</v>
      </c>
      <c r="B152" s="12" t="n">
        <v>0</v>
      </c>
      <c r="C152" s="12" t="n">
        <v>19.58</v>
      </c>
      <c r="D152" s="13" t="n">
        <v>0</v>
      </c>
      <c r="E152" s="12" t="n">
        <v>0.871</v>
      </c>
      <c r="F152" s="12" t="n">
        <v>6.122</v>
      </c>
      <c r="G152" s="12" t="n">
        <v>97.3</v>
      </c>
      <c r="H152" s="12" t="n">
        <v>1.618</v>
      </c>
      <c r="I152" s="12" t="n">
        <v>5</v>
      </c>
      <c r="J152" s="12" t="n">
        <v>403</v>
      </c>
      <c r="K152" s="12" t="n">
        <v>14.7</v>
      </c>
      <c r="L152" s="12" t="n">
        <v>372.8</v>
      </c>
      <c r="M152" s="12" t="n">
        <v>14.1</v>
      </c>
      <c r="N152" s="12" t="n">
        <v>21.5</v>
      </c>
    </row>
    <row r="153" customFormat="false" ht="15" hidden="false" customHeight="false" outlineLevel="0" collapsed="false">
      <c r="A153" s="14" t="n">
        <v>1.49632</v>
      </c>
      <c r="B153" s="14" t="n">
        <v>0</v>
      </c>
      <c r="C153" s="14" t="n">
        <v>19.58</v>
      </c>
      <c r="D153" s="15" t="n">
        <v>0</v>
      </c>
      <c r="E153" s="14" t="n">
        <v>0.871</v>
      </c>
      <c r="F153" s="14" t="n">
        <v>5.404</v>
      </c>
      <c r="G153" s="14" t="n">
        <v>100</v>
      </c>
      <c r="H153" s="14" t="n">
        <v>1.5916</v>
      </c>
      <c r="I153" s="14" t="n">
        <v>5</v>
      </c>
      <c r="J153" s="14" t="n">
        <v>403</v>
      </c>
      <c r="K153" s="14" t="n">
        <v>14.7</v>
      </c>
      <c r="L153" s="14" t="n">
        <v>341.6</v>
      </c>
      <c r="M153" s="14" t="n">
        <v>13.28</v>
      </c>
      <c r="N153" s="14" t="n">
        <v>19.6</v>
      </c>
    </row>
    <row r="154" customFormat="false" ht="15" hidden="false" customHeight="false" outlineLevel="0" collapsed="false">
      <c r="A154" s="12" t="n">
        <v>1.12658</v>
      </c>
      <c r="B154" s="12" t="n">
        <v>0</v>
      </c>
      <c r="C154" s="12" t="n">
        <v>19.58</v>
      </c>
      <c r="D154" s="13" t="n">
        <v>1</v>
      </c>
      <c r="E154" s="12" t="n">
        <v>0.871</v>
      </c>
      <c r="F154" s="12" t="n">
        <v>5.012</v>
      </c>
      <c r="G154" s="12" t="n">
        <v>88</v>
      </c>
      <c r="H154" s="12" t="n">
        <v>1.6102</v>
      </c>
      <c r="I154" s="12" t="n">
        <v>5</v>
      </c>
      <c r="J154" s="12" t="n">
        <v>403</v>
      </c>
      <c r="K154" s="12" t="n">
        <v>14.7</v>
      </c>
      <c r="L154" s="12" t="n">
        <v>343.28</v>
      </c>
      <c r="M154" s="12" t="n">
        <v>12.12</v>
      </c>
      <c r="N154" s="12" t="n">
        <v>15.3</v>
      </c>
    </row>
    <row r="155" customFormat="false" ht="15" hidden="false" customHeight="false" outlineLevel="0" collapsed="false">
      <c r="A155" s="14" t="n">
        <v>2.14918</v>
      </c>
      <c r="B155" s="14" t="n">
        <v>0</v>
      </c>
      <c r="C155" s="14" t="n">
        <v>19.58</v>
      </c>
      <c r="D155" s="15" t="n">
        <v>0</v>
      </c>
      <c r="E155" s="14" t="n">
        <v>0.871</v>
      </c>
      <c r="F155" s="14" t="n">
        <v>5.709</v>
      </c>
      <c r="G155" s="14" t="n">
        <v>98.5</v>
      </c>
      <c r="H155" s="14" t="n">
        <v>1.6232</v>
      </c>
      <c r="I155" s="14" t="n">
        <v>5</v>
      </c>
      <c r="J155" s="14" t="n">
        <v>403</v>
      </c>
      <c r="K155" s="14" t="n">
        <v>14.7</v>
      </c>
      <c r="L155" s="14" t="n">
        <v>261.95</v>
      </c>
      <c r="M155" s="14" t="n">
        <v>15.79</v>
      </c>
      <c r="N155" s="14" t="n">
        <v>19.4</v>
      </c>
    </row>
    <row r="156" customFormat="false" ht="15" hidden="false" customHeight="false" outlineLevel="0" collapsed="false">
      <c r="A156" s="12" t="n">
        <v>1.41385</v>
      </c>
      <c r="B156" s="12" t="n">
        <v>0</v>
      </c>
      <c r="C156" s="12" t="n">
        <v>19.58</v>
      </c>
      <c r="D156" s="13" t="n">
        <v>1</v>
      </c>
      <c r="E156" s="12" t="n">
        <v>0.871</v>
      </c>
      <c r="F156" s="12" t="n">
        <v>6.129</v>
      </c>
      <c r="G156" s="12" t="n">
        <v>96</v>
      </c>
      <c r="H156" s="12" t="n">
        <v>1.7494</v>
      </c>
      <c r="I156" s="12" t="n">
        <v>5</v>
      </c>
      <c r="J156" s="12" t="n">
        <v>403</v>
      </c>
      <c r="K156" s="12" t="n">
        <v>14.7</v>
      </c>
      <c r="L156" s="12" t="n">
        <v>321.02</v>
      </c>
      <c r="M156" s="12" t="n">
        <v>15.12</v>
      </c>
      <c r="N156" s="12" t="n">
        <v>17</v>
      </c>
    </row>
    <row r="157" customFormat="false" ht="15" hidden="false" customHeight="false" outlineLevel="0" collapsed="false">
      <c r="A157" s="14" t="n">
        <v>3.53501</v>
      </c>
      <c r="B157" s="14" t="n">
        <v>0</v>
      </c>
      <c r="C157" s="14" t="n">
        <v>19.58</v>
      </c>
      <c r="D157" s="15" t="n">
        <v>1</v>
      </c>
      <c r="E157" s="14" t="n">
        <v>0.871</v>
      </c>
      <c r="F157" s="14" t="n">
        <v>6.152</v>
      </c>
      <c r="G157" s="14" t="n">
        <v>82.6</v>
      </c>
      <c r="H157" s="14" t="n">
        <v>1.7455</v>
      </c>
      <c r="I157" s="14" t="n">
        <v>5</v>
      </c>
      <c r="J157" s="14" t="n">
        <v>403</v>
      </c>
      <c r="K157" s="14" t="n">
        <v>14.7</v>
      </c>
      <c r="L157" s="14" t="n">
        <v>88.01</v>
      </c>
      <c r="M157" s="14" t="n">
        <v>15.02</v>
      </c>
      <c r="N157" s="14" t="n">
        <v>15.6</v>
      </c>
    </row>
    <row r="158" customFormat="false" ht="15" hidden="false" customHeight="false" outlineLevel="0" collapsed="false">
      <c r="A158" s="12" t="n">
        <v>2.44668</v>
      </c>
      <c r="B158" s="12" t="n">
        <v>0</v>
      </c>
      <c r="C158" s="12" t="n">
        <v>19.58</v>
      </c>
      <c r="D158" s="13" t="n">
        <v>0</v>
      </c>
      <c r="E158" s="12" t="n">
        <v>0.871</v>
      </c>
      <c r="F158" s="12" t="n">
        <v>5.272</v>
      </c>
      <c r="G158" s="12" t="n">
        <v>94</v>
      </c>
      <c r="H158" s="12" t="n">
        <v>1.7364</v>
      </c>
      <c r="I158" s="12" t="n">
        <v>5</v>
      </c>
      <c r="J158" s="12" t="n">
        <v>403</v>
      </c>
      <c r="K158" s="12" t="n">
        <v>14.7</v>
      </c>
      <c r="L158" s="12" t="n">
        <v>88.63</v>
      </c>
      <c r="M158" s="12" t="n">
        <v>16.14</v>
      </c>
      <c r="N158" s="12" t="n">
        <v>13.1</v>
      </c>
    </row>
    <row r="159" customFormat="false" ht="15" hidden="false" customHeight="false" outlineLevel="0" collapsed="false">
      <c r="A159" s="14" t="n">
        <v>1.22358</v>
      </c>
      <c r="B159" s="14" t="n">
        <v>0</v>
      </c>
      <c r="C159" s="14" t="n">
        <v>19.58</v>
      </c>
      <c r="D159" s="15" t="n">
        <v>0</v>
      </c>
      <c r="E159" s="14" t="n">
        <v>0.605</v>
      </c>
      <c r="F159" s="14" t="n">
        <v>6.943</v>
      </c>
      <c r="G159" s="14" t="n">
        <v>97.4</v>
      </c>
      <c r="H159" s="14" t="n">
        <v>1.8773</v>
      </c>
      <c r="I159" s="14" t="n">
        <v>5</v>
      </c>
      <c r="J159" s="14" t="n">
        <v>403</v>
      </c>
      <c r="K159" s="14" t="n">
        <v>14.7</v>
      </c>
      <c r="L159" s="14" t="n">
        <v>363.43</v>
      </c>
      <c r="M159" s="14" t="n">
        <v>4.59</v>
      </c>
      <c r="N159" s="14" t="n">
        <v>41.3</v>
      </c>
    </row>
    <row r="160" customFormat="false" ht="15" hidden="false" customHeight="false" outlineLevel="0" collapsed="false">
      <c r="A160" s="12" t="n">
        <v>1.34284</v>
      </c>
      <c r="B160" s="12" t="n">
        <v>0</v>
      </c>
      <c r="C160" s="12" t="n">
        <v>19.58</v>
      </c>
      <c r="D160" s="13" t="n">
        <v>0</v>
      </c>
      <c r="E160" s="12" t="n">
        <v>0.605</v>
      </c>
      <c r="F160" s="12" t="n">
        <v>6.066</v>
      </c>
      <c r="G160" s="12" t="n">
        <v>100</v>
      </c>
      <c r="H160" s="12" t="n">
        <v>1.7573</v>
      </c>
      <c r="I160" s="12" t="n">
        <v>5</v>
      </c>
      <c r="J160" s="12" t="n">
        <v>403</v>
      </c>
      <c r="K160" s="12" t="n">
        <v>14.7</v>
      </c>
      <c r="L160" s="12" t="n">
        <v>353.89</v>
      </c>
      <c r="M160" s="12" t="n">
        <v>6.43</v>
      </c>
      <c r="N160" s="12" t="n">
        <v>24.3</v>
      </c>
    </row>
    <row r="161" customFormat="false" ht="15" hidden="false" customHeight="false" outlineLevel="0" collapsed="false">
      <c r="A161" s="14" t="n">
        <v>1.42502</v>
      </c>
      <c r="B161" s="14" t="n">
        <v>0</v>
      </c>
      <c r="C161" s="14" t="n">
        <v>19.58</v>
      </c>
      <c r="D161" s="15" t="n">
        <v>0</v>
      </c>
      <c r="E161" s="14" t="n">
        <v>0.871</v>
      </c>
      <c r="F161" s="14" t="n">
        <v>6.51</v>
      </c>
      <c r="G161" s="14" t="n">
        <v>100</v>
      </c>
      <c r="H161" s="14" t="n">
        <v>1.7659</v>
      </c>
      <c r="I161" s="14" t="n">
        <v>5</v>
      </c>
      <c r="J161" s="14" t="n">
        <v>403</v>
      </c>
      <c r="K161" s="14" t="n">
        <v>14.7</v>
      </c>
      <c r="L161" s="14" t="n">
        <v>364.31</v>
      </c>
      <c r="M161" s="14" t="n">
        <v>7.39</v>
      </c>
      <c r="N161" s="14" t="n">
        <v>23.3</v>
      </c>
    </row>
    <row r="162" customFormat="false" ht="15" hidden="false" customHeight="false" outlineLevel="0" collapsed="false">
      <c r="A162" s="12" t="n">
        <v>1.27346</v>
      </c>
      <c r="B162" s="12" t="n">
        <v>0</v>
      </c>
      <c r="C162" s="12" t="n">
        <v>19.58</v>
      </c>
      <c r="D162" s="13" t="n">
        <v>1</v>
      </c>
      <c r="E162" s="12" t="n">
        <v>0.605</v>
      </c>
      <c r="F162" s="12" t="n">
        <v>6.25</v>
      </c>
      <c r="G162" s="12" t="n">
        <v>92.6</v>
      </c>
      <c r="H162" s="12" t="n">
        <v>1.7984</v>
      </c>
      <c r="I162" s="12" t="n">
        <v>5</v>
      </c>
      <c r="J162" s="12" t="n">
        <v>403</v>
      </c>
      <c r="K162" s="12" t="n">
        <v>14.7</v>
      </c>
      <c r="L162" s="12" t="n">
        <v>338.92</v>
      </c>
      <c r="M162" s="12" t="n">
        <v>5.5</v>
      </c>
      <c r="N162" s="12" t="n">
        <v>27</v>
      </c>
    </row>
    <row r="163" customFormat="false" ht="15" hidden="false" customHeight="false" outlineLevel="0" collapsed="false">
      <c r="A163" s="14" t="n">
        <v>2.24236</v>
      </c>
      <c r="B163" s="14" t="n">
        <v>0</v>
      </c>
      <c r="C163" s="14" t="n">
        <v>19.58</v>
      </c>
      <c r="D163" s="15" t="n">
        <v>0</v>
      </c>
      <c r="E163" s="14" t="n">
        <v>0.605</v>
      </c>
      <c r="F163" s="14" t="n">
        <v>5.854</v>
      </c>
      <c r="G163" s="14" t="n">
        <v>91.8</v>
      </c>
      <c r="H163" s="14" t="n">
        <v>2.422</v>
      </c>
      <c r="I163" s="14" t="n">
        <v>5</v>
      </c>
      <c r="J163" s="14" t="n">
        <v>403</v>
      </c>
      <c r="K163" s="14" t="n">
        <v>14.7</v>
      </c>
      <c r="L163" s="14" t="n">
        <v>395.11</v>
      </c>
      <c r="M163" s="14" t="n">
        <v>11.64</v>
      </c>
      <c r="N163" s="14" t="n">
        <v>22.7</v>
      </c>
    </row>
    <row r="164" customFormat="false" ht="15" hidden="false" customHeight="false" outlineLevel="0" collapsed="false">
      <c r="A164" s="12" t="n">
        <v>2.924</v>
      </c>
      <c r="B164" s="12" t="n">
        <v>0</v>
      </c>
      <c r="C164" s="12" t="n">
        <v>19.58</v>
      </c>
      <c r="D164" s="13" t="n">
        <v>0</v>
      </c>
      <c r="E164" s="12" t="n">
        <v>0.605</v>
      </c>
      <c r="F164" s="12" t="n">
        <v>6.101</v>
      </c>
      <c r="G164" s="12" t="n">
        <v>93</v>
      </c>
      <c r="H164" s="12" t="n">
        <v>2.2834</v>
      </c>
      <c r="I164" s="12" t="n">
        <v>5</v>
      </c>
      <c r="J164" s="12" t="n">
        <v>403</v>
      </c>
      <c r="K164" s="12" t="n">
        <v>14.7</v>
      </c>
      <c r="L164" s="12" t="n">
        <v>240.16</v>
      </c>
      <c r="M164" s="12" t="n">
        <v>9.81</v>
      </c>
      <c r="N164" s="12" t="n">
        <v>25</v>
      </c>
    </row>
    <row r="165" customFormat="false" ht="15" hidden="false" customHeight="false" outlineLevel="0" collapsed="false">
      <c r="A165" s="14" t="n">
        <v>1.80028</v>
      </c>
      <c r="B165" s="14" t="n">
        <v>0</v>
      </c>
      <c r="C165" s="14" t="n">
        <v>19.58</v>
      </c>
      <c r="D165" s="15" t="n">
        <v>0</v>
      </c>
      <c r="E165" s="14" t="n">
        <v>0.605</v>
      </c>
      <c r="F165" s="14" t="n">
        <v>5.877</v>
      </c>
      <c r="G165" s="14" t="n">
        <v>79.2</v>
      </c>
      <c r="H165" s="14" t="n">
        <v>2.4259</v>
      </c>
      <c r="I165" s="14" t="n">
        <v>5</v>
      </c>
      <c r="J165" s="14" t="n">
        <v>403</v>
      </c>
      <c r="K165" s="14" t="n">
        <v>14.7</v>
      </c>
      <c r="L165" s="14" t="n">
        <v>227.61</v>
      </c>
      <c r="M165" s="14" t="n">
        <v>12.14</v>
      </c>
      <c r="N165" s="14" t="n">
        <v>23.8</v>
      </c>
    </row>
    <row r="166" customFormat="false" ht="15" hidden="false" customHeight="false" outlineLevel="0" collapsed="false">
      <c r="A166" s="12" t="n">
        <v>2.3004</v>
      </c>
      <c r="B166" s="12" t="n">
        <v>0</v>
      </c>
      <c r="C166" s="12" t="n">
        <v>19.58</v>
      </c>
      <c r="D166" s="13" t="n">
        <v>0</v>
      </c>
      <c r="E166" s="12" t="n">
        <v>0.605</v>
      </c>
      <c r="F166" s="12" t="n">
        <v>6.319</v>
      </c>
      <c r="G166" s="12" t="n">
        <v>96.1</v>
      </c>
      <c r="H166" s="12" t="n">
        <v>2.1</v>
      </c>
      <c r="I166" s="12" t="n">
        <v>5</v>
      </c>
      <c r="J166" s="12" t="n">
        <v>403</v>
      </c>
      <c r="K166" s="12" t="n">
        <v>14.7</v>
      </c>
      <c r="L166" s="12" t="n">
        <v>297.09</v>
      </c>
      <c r="M166" s="12" t="n">
        <v>11.1</v>
      </c>
      <c r="N166" s="12" t="n">
        <v>23.8</v>
      </c>
    </row>
    <row r="167" customFormat="false" ht="15" hidden="false" customHeight="false" outlineLevel="0" collapsed="false">
      <c r="A167" s="14" t="n">
        <v>2.44953</v>
      </c>
      <c r="B167" s="14" t="n">
        <v>0</v>
      </c>
      <c r="C167" s="14" t="n">
        <v>19.58</v>
      </c>
      <c r="D167" s="15" t="n">
        <v>0</v>
      </c>
      <c r="E167" s="14" t="n">
        <v>0.605</v>
      </c>
      <c r="F167" s="14" t="n">
        <v>6.402</v>
      </c>
      <c r="G167" s="14" t="n">
        <v>95.2</v>
      </c>
      <c r="H167" s="14" t="n">
        <v>2.2625</v>
      </c>
      <c r="I167" s="14" t="n">
        <v>5</v>
      </c>
      <c r="J167" s="14" t="n">
        <v>403</v>
      </c>
      <c r="K167" s="14" t="n">
        <v>14.7</v>
      </c>
      <c r="L167" s="14" t="n">
        <v>330.04</v>
      </c>
      <c r="M167" s="14" t="n">
        <v>11.32</v>
      </c>
      <c r="N167" s="14" t="n">
        <v>22.3</v>
      </c>
    </row>
    <row r="168" customFormat="false" ht="15" hidden="false" customHeight="false" outlineLevel="0" collapsed="false">
      <c r="A168" s="12" t="n">
        <v>1.20742</v>
      </c>
      <c r="B168" s="12" t="n">
        <v>0</v>
      </c>
      <c r="C168" s="12" t="n">
        <v>19.58</v>
      </c>
      <c r="D168" s="13" t="n">
        <v>0</v>
      </c>
      <c r="E168" s="12" t="n">
        <v>0.605</v>
      </c>
      <c r="F168" s="12" t="n">
        <v>5.875</v>
      </c>
      <c r="G168" s="12" t="n">
        <v>94.6</v>
      </c>
      <c r="H168" s="12" t="n">
        <v>2.4259</v>
      </c>
      <c r="I168" s="12" t="n">
        <v>5</v>
      </c>
      <c r="J168" s="12" t="n">
        <v>403</v>
      </c>
      <c r="K168" s="12" t="n">
        <v>14.7</v>
      </c>
      <c r="L168" s="12" t="n">
        <v>292.29</v>
      </c>
      <c r="M168" s="12" t="n">
        <v>14.43</v>
      </c>
      <c r="N168" s="12" t="n">
        <v>17.4</v>
      </c>
    </row>
    <row r="169" customFormat="false" ht="15" hidden="false" customHeight="false" outlineLevel="0" collapsed="false">
      <c r="A169" s="14" t="n">
        <v>2.3139</v>
      </c>
      <c r="B169" s="14" t="n">
        <v>0</v>
      </c>
      <c r="C169" s="14" t="n">
        <v>19.58</v>
      </c>
      <c r="D169" s="15" t="n">
        <v>0</v>
      </c>
      <c r="E169" s="14" t="n">
        <v>0.605</v>
      </c>
      <c r="F169" s="14" t="n">
        <v>5.88</v>
      </c>
      <c r="G169" s="14" t="n">
        <v>97.3</v>
      </c>
      <c r="H169" s="14" t="n">
        <v>2.3887</v>
      </c>
      <c r="I169" s="14" t="n">
        <v>5</v>
      </c>
      <c r="J169" s="14" t="n">
        <v>403</v>
      </c>
      <c r="K169" s="14" t="n">
        <v>14.7</v>
      </c>
      <c r="L169" s="14" t="n">
        <v>348.13</v>
      </c>
      <c r="M169" s="14" t="n">
        <v>12.03</v>
      </c>
      <c r="N169" s="14" t="n">
        <v>19.1</v>
      </c>
    </row>
    <row r="170" customFormat="false" ht="15" hidden="false" customHeight="false" outlineLevel="0" collapsed="false">
      <c r="A170" s="12" t="n">
        <v>0.13914</v>
      </c>
      <c r="B170" s="12" t="n">
        <v>0</v>
      </c>
      <c r="C170" s="12" t="n">
        <v>4.05</v>
      </c>
      <c r="D170" s="13" t="n">
        <v>0</v>
      </c>
      <c r="E170" s="12" t="n">
        <v>0.51</v>
      </c>
      <c r="F170" s="12" t="n">
        <v>5.572</v>
      </c>
      <c r="G170" s="12" t="n">
        <v>88.5</v>
      </c>
      <c r="H170" s="12" t="n">
        <v>2.5961</v>
      </c>
      <c r="I170" s="12" t="n">
        <v>5</v>
      </c>
      <c r="J170" s="12" t="n">
        <v>296</v>
      </c>
      <c r="K170" s="12" t="n">
        <v>16.6</v>
      </c>
      <c r="L170" s="12" t="n">
        <v>396.9</v>
      </c>
      <c r="M170" s="12" t="n">
        <v>14.69</v>
      </c>
      <c r="N170" s="12" t="n">
        <v>23.1</v>
      </c>
    </row>
    <row r="171" customFormat="false" ht="15" hidden="false" customHeight="false" outlineLevel="0" collapsed="false">
      <c r="A171" s="14" t="n">
        <v>0.09178</v>
      </c>
      <c r="B171" s="14" t="n">
        <v>0</v>
      </c>
      <c r="C171" s="14" t="n">
        <v>4.05</v>
      </c>
      <c r="D171" s="15" t="n">
        <v>0</v>
      </c>
      <c r="E171" s="14" t="n">
        <v>0.51</v>
      </c>
      <c r="F171" s="14" t="n">
        <v>6.416</v>
      </c>
      <c r="G171" s="14" t="n">
        <v>84.1</v>
      </c>
      <c r="H171" s="14" t="n">
        <v>2.6463</v>
      </c>
      <c r="I171" s="14" t="n">
        <v>5</v>
      </c>
      <c r="J171" s="14" t="n">
        <v>296</v>
      </c>
      <c r="K171" s="14" t="n">
        <v>16.6</v>
      </c>
      <c r="L171" s="14" t="n">
        <v>395.5</v>
      </c>
      <c r="M171" s="14" t="n">
        <v>9.04</v>
      </c>
      <c r="N171" s="14" t="n">
        <v>23.6</v>
      </c>
    </row>
    <row r="172" customFormat="false" ht="15" hidden="false" customHeight="false" outlineLevel="0" collapsed="false">
      <c r="A172" s="12" t="n">
        <v>0.08447</v>
      </c>
      <c r="B172" s="12" t="n">
        <v>0</v>
      </c>
      <c r="C172" s="12" t="n">
        <v>4.05</v>
      </c>
      <c r="D172" s="13" t="n">
        <v>0</v>
      </c>
      <c r="E172" s="12" t="n">
        <v>0.51</v>
      </c>
      <c r="F172" s="12" t="n">
        <v>5.859</v>
      </c>
      <c r="G172" s="12" t="n">
        <v>68.7</v>
      </c>
      <c r="H172" s="12" t="n">
        <v>2.7019</v>
      </c>
      <c r="I172" s="12" t="n">
        <v>5</v>
      </c>
      <c r="J172" s="12" t="n">
        <v>296</v>
      </c>
      <c r="K172" s="12" t="n">
        <v>16.6</v>
      </c>
      <c r="L172" s="12" t="n">
        <v>393.23</v>
      </c>
      <c r="M172" s="12" t="n">
        <v>9.64</v>
      </c>
      <c r="N172" s="12" t="n">
        <v>22.6</v>
      </c>
    </row>
    <row r="173" customFormat="false" ht="15" hidden="false" customHeight="false" outlineLevel="0" collapsed="false">
      <c r="A173" s="14" t="n">
        <v>0.06664</v>
      </c>
      <c r="B173" s="14" t="n">
        <v>0</v>
      </c>
      <c r="C173" s="14" t="n">
        <v>4.05</v>
      </c>
      <c r="D173" s="15" t="n">
        <v>0</v>
      </c>
      <c r="E173" s="14" t="n">
        <v>0.51</v>
      </c>
      <c r="F173" s="14" t="n">
        <v>6.546</v>
      </c>
      <c r="G173" s="14" t="n">
        <v>33.1</v>
      </c>
      <c r="H173" s="14" t="n">
        <v>3.1323</v>
      </c>
      <c r="I173" s="14" t="n">
        <v>5</v>
      </c>
      <c r="J173" s="14" t="n">
        <v>296</v>
      </c>
      <c r="K173" s="14" t="n">
        <v>16.6</v>
      </c>
      <c r="L173" s="14" t="n">
        <v>390.96</v>
      </c>
      <c r="M173" s="14" t="n">
        <v>5.33</v>
      </c>
      <c r="N173" s="14" t="n">
        <v>29.4</v>
      </c>
    </row>
    <row r="174" customFormat="false" ht="15" hidden="false" customHeight="false" outlineLevel="0" collapsed="false">
      <c r="A174" s="12" t="n">
        <v>0.07022</v>
      </c>
      <c r="B174" s="12" t="n">
        <v>0</v>
      </c>
      <c r="C174" s="12" t="n">
        <v>4.05</v>
      </c>
      <c r="D174" s="13" t="n">
        <v>0</v>
      </c>
      <c r="E174" s="12" t="n">
        <v>0.51</v>
      </c>
      <c r="F174" s="12" t="n">
        <v>6.02</v>
      </c>
      <c r="G174" s="12" t="n">
        <v>47.2</v>
      </c>
      <c r="H174" s="12" t="n">
        <v>3.5549</v>
      </c>
      <c r="I174" s="12" t="n">
        <v>5</v>
      </c>
      <c r="J174" s="12" t="n">
        <v>296</v>
      </c>
      <c r="K174" s="12" t="n">
        <v>16.6</v>
      </c>
      <c r="L174" s="12" t="n">
        <v>393.23</v>
      </c>
      <c r="M174" s="12" t="n">
        <v>10.11</v>
      </c>
      <c r="N174" s="12" t="n">
        <v>23.2</v>
      </c>
    </row>
    <row r="175" customFormat="false" ht="15" hidden="false" customHeight="false" outlineLevel="0" collapsed="false">
      <c r="A175" s="14" t="n">
        <v>0.05425</v>
      </c>
      <c r="B175" s="14" t="n">
        <v>0</v>
      </c>
      <c r="C175" s="14" t="n">
        <v>4.05</v>
      </c>
      <c r="D175" s="15" t="n">
        <v>0</v>
      </c>
      <c r="E175" s="14" t="n">
        <v>0.51</v>
      </c>
      <c r="F175" s="14" t="n">
        <v>6.315</v>
      </c>
      <c r="G175" s="14" t="n">
        <v>73.4</v>
      </c>
      <c r="H175" s="14" t="n">
        <v>3.3175</v>
      </c>
      <c r="I175" s="14" t="n">
        <v>5</v>
      </c>
      <c r="J175" s="14" t="n">
        <v>296</v>
      </c>
      <c r="K175" s="14" t="n">
        <v>16.6</v>
      </c>
      <c r="L175" s="14" t="n">
        <v>395.6</v>
      </c>
      <c r="M175" s="14" t="n">
        <v>6.29</v>
      </c>
      <c r="N175" s="14" t="n">
        <v>24.6</v>
      </c>
    </row>
    <row r="176" customFormat="false" ht="15" hidden="false" customHeight="false" outlineLevel="0" collapsed="false">
      <c r="A176" s="12" t="n">
        <v>0.06642</v>
      </c>
      <c r="B176" s="12" t="n">
        <v>0</v>
      </c>
      <c r="C176" s="12" t="n">
        <v>4.05</v>
      </c>
      <c r="D176" s="13" t="n">
        <v>0</v>
      </c>
      <c r="E176" s="12" t="n">
        <v>0.51</v>
      </c>
      <c r="F176" s="12" t="n">
        <v>6.86</v>
      </c>
      <c r="G176" s="12" t="n">
        <v>74.4</v>
      </c>
      <c r="H176" s="12" t="n">
        <v>2.9153</v>
      </c>
      <c r="I176" s="12" t="n">
        <v>5</v>
      </c>
      <c r="J176" s="12" t="n">
        <v>296</v>
      </c>
      <c r="K176" s="12" t="n">
        <v>16.6</v>
      </c>
      <c r="L176" s="12" t="n">
        <v>391.27</v>
      </c>
      <c r="M176" s="12" t="n">
        <v>6.92</v>
      </c>
      <c r="N176" s="12" t="n">
        <v>29.9</v>
      </c>
    </row>
    <row r="177" customFormat="false" ht="15" hidden="false" customHeight="false" outlineLevel="0" collapsed="false">
      <c r="A177" s="14" t="n">
        <v>0.0578</v>
      </c>
      <c r="B177" s="14" t="n">
        <v>0</v>
      </c>
      <c r="C177" s="14" t="n">
        <v>2.46</v>
      </c>
      <c r="D177" s="15" t="n">
        <v>0</v>
      </c>
      <c r="E177" s="14" t="n">
        <v>0.488</v>
      </c>
      <c r="F177" s="14" t="n">
        <v>6.98</v>
      </c>
      <c r="G177" s="14" t="n">
        <v>58.4</v>
      </c>
      <c r="H177" s="14" t="n">
        <v>2.829</v>
      </c>
      <c r="I177" s="14" t="n">
        <v>3</v>
      </c>
      <c r="J177" s="14" t="n">
        <v>193</v>
      </c>
      <c r="K177" s="14" t="n">
        <v>17.8</v>
      </c>
      <c r="L177" s="14" t="n">
        <v>396.9</v>
      </c>
      <c r="M177" s="14" t="n">
        <v>5.04</v>
      </c>
      <c r="N177" s="14" t="n">
        <v>37.2</v>
      </c>
    </row>
    <row r="178" customFormat="false" ht="15" hidden="false" customHeight="false" outlineLevel="0" collapsed="false">
      <c r="A178" s="12" t="n">
        <v>0.06588</v>
      </c>
      <c r="B178" s="12" t="n">
        <v>0</v>
      </c>
      <c r="C178" s="12" t="n">
        <v>2.46</v>
      </c>
      <c r="D178" s="13" t="n">
        <v>0</v>
      </c>
      <c r="E178" s="12" t="n">
        <v>0.488</v>
      </c>
      <c r="F178" s="12" t="n">
        <v>7.765</v>
      </c>
      <c r="G178" s="12" t="n">
        <v>83.3</v>
      </c>
      <c r="H178" s="12" t="n">
        <v>2.741</v>
      </c>
      <c r="I178" s="12" t="n">
        <v>3</v>
      </c>
      <c r="J178" s="12" t="n">
        <v>193</v>
      </c>
      <c r="K178" s="12" t="n">
        <v>17.8</v>
      </c>
      <c r="L178" s="12" t="n">
        <v>395.56</v>
      </c>
      <c r="M178" s="12" t="n">
        <v>7.56</v>
      </c>
      <c r="N178" s="12" t="n">
        <v>39.8</v>
      </c>
    </row>
    <row r="179" customFormat="false" ht="15" hidden="false" customHeight="false" outlineLevel="0" collapsed="false">
      <c r="A179" s="14" t="n">
        <v>0.06888</v>
      </c>
      <c r="B179" s="14" t="n">
        <v>0</v>
      </c>
      <c r="C179" s="14" t="n">
        <v>2.46</v>
      </c>
      <c r="D179" s="15" t="n">
        <v>0</v>
      </c>
      <c r="E179" s="14" t="n">
        <v>0.488</v>
      </c>
      <c r="F179" s="14" t="n">
        <v>6.144</v>
      </c>
      <c r="G179" s="14" t="n">
        <v>62.2</v>
      </c>
      <c r="H179" s="14" t="n">
        <v>2.5979</v>
      </c>
      <c r="I179" s="14" t="n">
        <v>3</v>
      </c>
      <c r="J179" s="14" t="n">
        <v>193</v>
      </c>
      <c r="K179" s="14" t="n">
        <v>17.8</v>
      </c>
      <c r="L179" s="14" t="n">
        <v>396.9</v>
      </c>
      <c r="M179" s="14" t="n">
        <v>9.45</v>
      </c>
      <c r="N179" s="14" t="n">
        <v>36.2</v>
      </c>
    </row>
    <row r="180" customFormat="false" ht="15" hidden="false" customHeight="false" outlineLevel="0" collapsed="false">
      <c r="A180" s="12" t="n">
        <v>0.09103</v>
      </c>
      <c r="B180" s="12" t="n">
        <v>0</v>
      </c>
      <c r="C180" s="12" t="n">
        <v>2.46</v>
      </c>
      <c r="D180" s="13" t="n">
        <v>0</v>
      </c>
      <c r="E180" s="12" t="n">
        <v>0.488</v>
      </c>
      <c r="F180" s="12" t="n">
        <v>7.155</v>
      </c>
      <c r="G180" s="12" t="n">
        <v>92.2</v>
      </c>
      <c r="H180" s="12" t="n">
        <v>2.7006</v>
      </c>
      <c r="I180" s="12" t="n">
        <v>3</v>
      </c>
      <c r="J180" s="12" t="n">
        <v>193</v>
      </c>
      <c r="K180" s="12" t="n">
        <v>17.8</v>
      </c>
      <c r="L180" s="12" t="n">
        <v>394.12</v>
      </c>
      <c r="M180" s="12" t="n">
        <v>4.82</v>
      </c>
      <c r="N180" s="12" t="n">
        <v>37.9</v>
      </c>
    </row>
    <row r="181" customFormat="false" ht="15" hidden="false" customHeight="false" outlineLevel="0" collapsed="false">
      <c r="A181" s="14" t="n">
        <v>0.10008</v>
      </c>
      <c r="B181" s="14" t="n">
        <v>0</v>
      </c>
      <c r="C181" s="14" t="n">
        <v>2.46</v>
      </c>
      <c r="D181" s="15" t="n">
        <v>0</v>
      </c>
      <c r="E181" s="14" t="n">
        <v>0.488</v>
      </c>
      <c r="F181" s="14" t="n">
        <v>6.563</v>
      </c>
      <c r="G181" s="14" t="n">
        <v>95.6</v>
      </c>
      <c r="H181" s="14" t="n">
        <v>2.847</v>
      </c>
      <c r="I181" s="14" t="n">
        <v>3</v>
      </c>
      <c r="J181" s="14" t="n">
        <v>193</v>
      </c>
      <c r="K181" s="14" t="n">
        <v>17.8</v>
      </c>
      <c r="L181" s="14" t="n">
        <v>396.9</v>
      </c>
      <c r="M181" s="14" t="n">
        <v>5.68</v>
      </c>
      <c r="N181" s="14" t="n">
        <v>32.5</v>
      </c>
    </row>
    <row r="182" customFormat="false" ht="15" hidden="false" customHeight="false" outlineLevel="0" collapsed="false">
      <c r="A182" s="12" t="n">
        <v>0.08308</v>
      </c>
      <c r="B182" s="12" t="n">
        <v>0</v>
      </c>
      <c r="C182" s="12" t="n">
        <v>2.46</v>
      </c>
      <c r="D182" s="13" t="n">
        <v>0</v>
      </c>
      <c r="E182" s="12" t="n">
        <v>0.488</v>
      </c>
      <c r="F182" s="12" t="n">
        <v>5.604</v>
      </c>
      <c r="G182" s="12" t="n">
        <v>89.8</v>
      </c>
      <c r="H182" s="12" t="n">
        <v>2.9879</v>
      </c>
      <c r="I182" s="12" t="n">
        <v>3</v>
      </c>
      <c r="J182" s="12" t="n">
        <v>193</v>
      </c>
      <c r="K182" s="12" t="n">
        <v>17.8</v>
      </c>
      <c r="L182" s="12" t="n">
        <v>391</v>
      </c>
      <c r="M182" s="12" t="n">
        <v>13.98</v>
      </c>
      <c r="N182" s="12" t="n">
        <v>26.4</v>
      </c>
    </row>
    <row r="183" customFormat="false" ht="15" hidden="false" customHeight="false" outlineLevel="0" collapsed="false">
      <c r="A183" s="14" t="n">
        <v>0.06047</v>
      </c>
      <c r="B183" s="14" t="n">
        <v>0</v>
      </c>
      <c r="C183" s="14" t="n">
        <v>2.46</v>
      </c>
      <c r="D183" s="15" t="n">
        <v>0</v>
      </c>
      <c r="E183" s="14" t="n">
        <v>0.488</v>
      </c>
      <c r="F183" s="14" t="n">
        <v>6.153</v>
      </c>
      <c r="G183" s="14" t="n">
        <v>68.8</v>
      </c>
      <c r="H183" s="14" t="n">
        <v>3.2797</v>
      </c>
      <c r="I183" s="14" t="n">
        <v>3</v>
      </c>
      <c r="J183" s="14" t="n">
        <v>193</v>
      </c>
      <c r="K183" s="14" t="n">
        <v>17.8</v>
      </c>
      <c r="L183" s="14" t="n">
        <v>387.11</v>
      </c>
      <c r="M183" s="14" t="n">
        <v>13.15</v>
      </c>
      <c r="N183" s="14" t="n">
        <v>29.6</v>
      </c>
    </row>
    <row r="184" customFormat="false" ht="15" hidden="false" customHeight="false" outlineLevel="0" collapsed="false">
      <c r="A184" s="12" t="n">
        <v>0.07875</v>
      </c>
      <c r="B184" s="12" t="n">
        <v>45</v>
      </c>
      <c r="C184" s="12" t="n">
        <v>3.44</v>
      </c>
      <c r="D184" s="13" t="n">
        <v>0</v>
      </c>
      <c r="E184" s="12" t="n">
        <v>0.437</v>
      </c>
      <c r="F184" s="12" t="n">
        <v>6.782</v>
      </c>
      <c r="G184" s="12" t="n">
        <v>41.1</v>
      </c>
      <c r="H184" s="12" t="n">
        <v>3.7886</v>
      </c>
      <c r="I184" s="12" t="n">
        <v>5</v>
      </c>
      <c r="J184" s="12" t="n">
        <v>398</v>
      </c>
      <c r="K184" s="12" t="n">
        <v>15.2</v>
      </c>
      <c r="L184" s="12" t="n">
        <v>393.87</v>
      </c>
      <c r="M184" s="12" t="n">
        <v>6.68</v>
      </c>
      <c r="N184" s="12" t="n">
        <v>32</v>
      </c>
    </row>
    <row r="185" customFormat="false" ht="15" hidden="false" customHeight="false" outlineLevel="0" collapsed="false">
      <c r="A185" s="14" t="n">
        <v>0.12579</v>
      </c>
      <c r="B185" s="14" t="n">
        <v>45</v>
      </c>
      <c r="C185" s="14" t="n">
        <v>3.44</v>
      </c>
      <c r="D185" s="15" t="n">
        <v>0</v>
      </c>
      <c r="E185" s="14" t="n">
        <v>0.437</v>
      </c>
      <c r="F185" s="14" t="n">
        <v>6.556</v>
      </c>
      <c r="G185" s="14" t="n">
        <v>29.1</v>
      </c>
      <c r="H185" s="14" t="n">
        <v>4.5667</v>
      </c>
      <c r="I185" s="14" t="n">
        <v>5</v>
      </c>
      <c r="J185" s="14" t="n">
        <v>398</v>
      </c>
      <c r="K185" s="14" t="n">
        <v>15.2</v>
      </c>
      <c r="L185" s="14" t="n">
        <v>382.84</v>
      </c>
      <c r="M185" s="14" t="n">
        <v>4.56</v>
      </c>
      <c r="N185" s="14" t="n">
        <v>29.8</v>
      </c>
    </row>
    <row r="186" customFormat="false" ht="15" hidden="false" customHeight="false" outlineLevel="0" collapsed="false">
      <c r="A186" s="12" t="n">
        <v>0.0837</v>
      </c>
      <c r="B186" s="12" t="n">
        <v>45</v>
      </c>
      <c r="C186" s="12" t="n">
        <v>3.44</v>
      </c>
      <c r="D186" s="13" t="n">
        <v>0</v>
      </c>
      <c r="E186" s="12" t="n">
        <v>0.437</v>
      </c>
      <c r="F186" s="12" t="n">
        <v>7.185</v>
      </c>
      <c r="G186" s="12" t="n">
        <v>38.9</v>
      </c>
      <c r="H186" s="12" t="n">
        <v>4.5667</v>
      </c>
      <c r="I186" s="12" t="n">
        <v>5</v>
      </c>
      <c r="J186" s="12" t="n">
        <v>398</v>
      </c>
      <c r="K186" s="12" t="n">
        <v>15.2</v>
      </c>
      <c r="L186" s="12" t="n">
        <v>396.9</v>
      </c>
      <c r="M186" s="12" t="n">
        <v>5.39</v>
      </c>
      <c r="N186" s="12" t="n">
        <v>34.9</v>
      </c>
    </row>
    <row r="187" customFormat="false" ht="15" hidden="false" customHeight="false" outlineLevel="0" collapsed="false">
      <c r="A187" s="14" t="n">
        <v>0.09068</v>
      </c>
      <c r="B187" s="14" t="n">
        <v>45</v>
      </c>
      <c r="C187" s="14" t="n">
        <v>3.44</v>
      </c>
      <c r="D187" s="15" t="n">
        <v>0</v>
      </c>
      <c r="E187" s="14" t="n">
        <v>0.437</v>
      </c>
      <c r="F187" s="14" t="n">
        <v>6.951</v>
      </c>
      <c r="G187" s="14" t="n">
        <v>21.5</v>
      </c>
      <c r="H187" s="14" t="n">
        <v>6.4798</v>
      </c>
      <c r="I187" s="14" t="n">
        <v>5</v>
      </c>
      <c r="J187" s="14" t="n">
        <v>398</v>
      </c>
      <c r="K187" s="14" t="n">
        <v>15.2</v>
      </c>
      <c r="L187" s="14" t="n">
        <v>377.68</v>
      </c>
      <c r="M187" s="14" t="n">
        <v>5.1</v>
      </c>
      <c r="N187" s="14" t="n">
        <v>37</v>
      </c>
    </row>
    <row r="188" customFormat="false" ht="15" hidden="false" customHeight="false" outlineLevel="0" collapsed="false">
      <c r="A188" s="12" t="n">
        <v>0.06911</v>
      </c>
      <c r="B188" s="12" t="n">
        <v>45</v>
      </c>
      <c r="C188" s="12" t="n">
        <v>3.44</v>
      </c>
      <c r="D188" s="13" t="n">
        <v>0</v>
      </c>
      <c r="E188" s="12" t="n">
        <v>0.437</v>
      </c>
      <c r="F188" s="12" t="n">
        <v>6.739</v>
      </c>
      <c r="G188" s="12" t="n">
        <v>30.8</v>
      </c>
      <c r="H188" s="12" t="n">
        <v>6.4798</v>
      </c>
      <c r="I188" s="12" t="n">
        <v>5</v>
      </c>
      <c r="J188" s="12" t="n">
        <v>398</v>
      </c>
      <c r="K188" s="12" t="n">
        <v>15.2</v>
      </c>
      <c r="L188" s="12" t="n">
        <v>389.71</v>
      </c>
      <c r="M188" s="12" t="n">
        <v>4.69</v>
      </c>
      <c r="N188" s="12" t="n">
        <v>30.5</v>
      </c>
    </row>
    <row r="189" customFormat="false" ht="15" hidden="false" customHeight="false" outlineLevel="0" collapsed="false">
      <c r="A189" s="14" t="n">
        <v>0.08664</v>
      </c>
      <c r="B189" s="14" t="n">
        <v>45</v>
      </c>
      <c r="C189" s="14" t="n">
        <v>3.44</v>
      </c>
      <c r="D189" s="15" t="n">
        <v>0</v>
      </c>
      <c r="E189" s="14" t="n">
        <v>0.437</v>
      </c>
      <c r="F189" s="14" t="n">
        <v>7.178</v>
      </c>
      <c r="G189" s="14" t="n">
        <v>26.3</v>
      </c>
      <c r="H189" s="14" t="n">
        <v>6.4798</v>
      </c>
      <c r="I189" s="14" t="n">
        <v>5</v>
      </c>
      <c r="J189" s="14" t="n">
        <v>398</v>
      </c>
      <c r="K189" s="14" t="n">
        <v>15.2</v>
      </c>
      <c r="L189" s="14" t="n">
        <v>390.49</v>
      </c>
      <c r="M189" s="14" t="n">
        <v>2.87</v>
      </c>
      <c r="N189" s="14" t="n">
        <v>36.4</v>
      </c>
    </row>
    <row r="190" customFormat="false" ht="15" hidden="false" customHeight="false" outlineLevel="0" collapsed="false">
      <c r="A190" s="12" t="n">
        <v>0.02187</v>
      </c>
      <c r="B190" s="12" t="n">
        <v>60</v>
      </c>
      <c r="C190" s="12" t="n">
        <v>2.93</v>
      </c>
      <c r="D190" s="13" t="n">
        <v>0</v>
      </c>
      <c r="E190" s="12" t="n">
        <v>0.401</v>
      </c>
      <c r="F190" s="12" t="n">
        <v>6.8</v>
      </c>
      <c r="G190" s="12" t="n">
        <v>9.9</v>
      </c>
      <c r="H190" s="12" t="n">
        <v>6.2196</v>
      </c>
      <c r="I190" s="12" t="n">
        <v>1</v>
      </c>
      <c r="J190" s="12" t="n">
        <v>265</v>
      </c>
      <c r="K190" s="12" t="n">
        <v>15.6</v>
      </c>
      <c r="L190" s="12" t="n">
        <v>393.37</v>
      </c>
      <c r="M190" s="12" t="n">
        <v>5.03</v>
      </c>
      <c r="N190" s="12" t="n">
        <v>31.1</v>
      </c>
    </row>
    <row r="191" customFormat="false" ht="15" hidden="false" customHeight="false" outlineLevel="0" collapsed="false">
      <c r="A191" s="14" t="n">
        <v>0.01439</v>
      </c>
      <c r="B191" s="14" t="n">
        <v>60</v>
      </c>
      <c r="C191" s="14" t="n">
        <v>2.93</v>
      </c>
      <c r="D191" s="15" t="n">
        <v>0</v>
      </c>
      <c r="E191" s="14" t="n">
        <v>0.401</v>
      </c>
      <c r="F191" s="14" t="n">
        <v>6.604</v>
      </c>
      <c r="G191" s="14" t="n">
        <v>18.8</v>
      </c>
      <c r="H191" s="14" t="n">
        <v>6.2196</v>
      </c>
      <c r="I191" s="14" t="n">
        <v>1</v>
      </c>
      <c r="J191" s="14" t="n">
        <v>265</v>
      </c>
      <c r="K191" s="14" t="n">
        <v>15.6</v>
      </c>
      <c r="L191" s="14" t="n">
        <v>376.7</v>
      </c>
      <c r="M191" s="14" t="n">
        <v>4.38</v>
      </c>
      <c r="N191" s="14" t="n">
        <v>29.1</v>
      </c>
    </row>
    <row r="192" customFormat="false" ht="15" hidden="false" customHeight="false" outlineLevel="0" collapsed="false">
      <c r="A192" s="12" t="n">
        <v>0.04011</v>
      </c>
      <c r="B192" s="12" t="n">
        <v>80</v>
      </c>
      <c r="C192" s="12" t="n">
        <v>1.52</v>
      </c>
      <c r="D192" s="13" t="n">
        <v>0</v>
      </c>
      <c r="E192" s="12" t="n">
        <v>0.404</v>
      </c>
      <c r="F192" s="12" t="n">
        <v>7.287</v>
      </c>
      <c r="G192" s="12" t="n">
        <v>34.1</v>
      </c>
      <c r="H192" s="12" t="n">
        <v>7.309</v>
      </c>
      <c r="I192" s="12" t="n">
        <v>2</v>
      </c>
      <c r="J192" s="12" t="n">
        <v>329</v>
      </c>
      <c r="K192" s="12" t="n">
        <v>12.6</v>
      </c>
      <c r="L192" s="12" t="n">
        <v>396.9</v>
      </c>
      <c r="M192" s="12" t="n">
        <v>4.08</v>
      </c>
      <c r="N192" s="12" t="n">
        <v>33.3</v>
      </c>
    </row>
    <row r="193" customFormat="false" ht="15" hidden="false" customHeight="false" outlineLevel="0" collapsed="false">
      <c r="A193" s="14" t="n">
        <v>0.04666</v>
      </c>
      <c r="B193" s="14" t="n">
        <v>80</v>
      </c>
      <c r="C193" s="14" t="n">
        <v>1.52</v>
      </c>
      <c r="D193" s="15" t="n">
        <v>0</v>
      </c>
      <c r="E193" s="14" t="n">
        <v>0.404</v>
      </c>
      <c r="F193" s="14" t="n">
        <v>7.107</v>
      </c>
      <c r="G193" s="14" t="n">
        <v>36.6</v>
      </c>
      <c r="H193" s="14" t="n">
        <v>7.309</v>
      </c>
      <c r="I193" s="14" t="n">
        <v>2</v>
      </c>
      <c r="J193" s="14" t="n">
        <v>329</v>
      </c>
      <c r="K193" s="14" t="n">
        <v>12.6</v>
      </c>
      <c r="L193" s="14" t="n">
        <v>354.31</v>
      </c>
      <c r="M193" s="14" t="n">
        <v>8.61</v>
      </c>
      <c r="N193" s="14" t="n">
        <v>30.3</v>
      </c>
    </row>
    <row r="194" customFormat="false" ht="15" hidden="false" customHeight="false" outlineLevel="0" collapsed="false">
      <c r="A194" s="12" t="n">
        <v>0.03768</v>
      </c>
      <c r="B194" s="12" t="n">
        <v>80</v>
      </c>
      <c r="C194" s="12" t="n">
        <v>1.52</v>
      </c>
      <c r="D194" s="13" t="n">
        <v>0</v>
      </c>
      <c r="E194" s="12" t="n">
        <v>0.404</v>
      </c>
      <c r="F194" s="12" t="n">
        <v>7.274</v>
      </c>
      <c r="G194" s="12" t="n">
        <v>38.3</v>
      </c>
      <c r="H194" s="12" t="n">
        <v>7.309</v>
      </c>
      <c r="I194" s="12" t="n">
        <v>2</v>
      </c>
      <c r="J194" s="12" t="n">
        <v>329</v>
      </c>
      <c r="K194" s="12" t="n">
        <v>12.6</v>
      </c>
      <c r="L194" s="12" t="n">
        <v>392.2</v>
      </c>
      <c r="M194" s="12" t="n">
        <v>6.62</v>
      </c>
      <c r="N194" s="12" t="n">
        <v>34.6</v>
      </c>
    </row>
    <row r="195" customFormat="false" ht="15" hidden="false" customHeight="false" outlineLevel="0" collapsed="false">
      <c r="A195" s="14" t="n">
        <v>0.0315</v>
      </c>
      <c r="B195" s="14" t="n">
        <v>95</v>
      </c>
      <c r="C195" s="14" t="n">
        <v>1.47</v>
      </c>
      <c r="D195" s="15" t="n">
        <v>0</v>
      </c>
      <c r="E195" s="14" t="n">
        <v>0.403</v>
      </c>
      <c r="F195" s="14" t="n">
        <v>6.975</v>
      </c>
      <c r="G195" s="14" t="n">
        <v>15.3</v>
      </c>
      <c r="H195" s="14" t="n">
        <v>7.6534</v>
      </c>
      <c r="I195" s="14" t="n">
        <v>3</v>
      </c>
      <c r="J195" s="14" t="n">
        <v>402</v>
      </c>
      <c r="K195" s="14" t="n">
        <v>17</v>
      </c>
      <c r="L195" s="14" t="n">
        <v>396.9</v>
      </c>
      <c r="M195" s="14" t="n">
        <v>4.56</v>
      </c>
      <c r="N195" s="14" t="n">
        <v>34.9</v>
      </c>
    </row>
    <row r="196" customFormat="false" ht="15" hidden="false" customHeight="false" outlineLevel="0" collapsed="false">
      <c r="A196" s="12" t="n">
        <v>0.01778</v>
      </c>
      <c r="B196" s="12" t="n">
        <v>95</v>
      </c>
      <c r="C196" s="12" t="n">
        <v>1.47</v>
      </c>
      <c r="D196" s="13" t="n">
        <v>0</v>
      </c>
      <c r="E196" s="12" t="n">
        <v>0.403</v>
      </c>
      <c r="F196" s="12" t="n">
        <v>7.135</v>
      </c>
      <c r="G196" s="12" t="n">
        <v>13.9</v>
      </c>
      <c r="H196" s="12" t="n">
        <v>7.6534</v>
      </c>
      <c r="I196" s="12" t="n">
        <v>3</v>
      </c>
      <c r="J196" s="12" t="n">
        <v>402</v>
      </c>
      <c r="K196" s="12" t="n">
        <v>17</v>
      </c>
      <c r="L196" s="12" t="n">
        <v>384.3</v>
      </c>
      <c r="M196" s="12" t="n">
        <v>4.45</v>
      </c>
      <c r="N196" s="12" t="n">
        <v>32.9</v>
      </c>
    </row>
    <row r="197" customFormat="false" ht="15" hidden="false" customHeight="false" outlineLevel="0" collapsed="false">
      <c r="A197" s="14" t="n">
        <v>0.03445</v>
      </c>
      <c r="B197" s="14" t="n">
        <v>82.5</v>
      </c>
      <c r="C197" s="14" t="n">
        <v>2.03</v>
      </c>
      <c r="D197" s="15" t="n">
        <v>0</v>
      </c>
      <c r="E197" s="14" t="n">
        <v>0.415</v>
      </c>
      <c r="F197" s="14" t="n">
        <v>6.162</v>
      </c>
      <c r="G197" s="14" t="n">
        <v>38.4</v>
      </c>
      <c r="H197" s="14" t="n">
        <v>6.27</v>
      </c>
      <c r="I197" s="14" t="n">
        <v>2</v>
      </c>
      <c r="J197" s="14" t="n">
        <v>348</v>
      </c>
      <c r="K197" s="14" t="n">
        <v>14.7</v>
      </c>
      <c r="L197" s="14" t="n">
        <v>393.77</v>
      </c>
      <c r="M197" s="14" t="n">
        <v>7.43</v>
      </c>
      <c r="N197" s="14" t="n">
        <v>24.1</v>
      </c>
    </row>
    <row r="198" customFormat="false" ht="15" hidden="false" customHeight="false" outlineLevel="0" collapsed="false">
      <c r="A198" s="12" t="n">
        <v>0.02177</v>
      </c>
      <c r="B198" s="12" t="n">
        <v>82.5</v>
      </c>
      <c r="C198" s="12" t="n">
        <v>2.03</v>
      </c>
      <c r="D198" s="13" t="n">
        <v>0</v>
      </c>
      <c r="E198" s="12" t="n">
        <v>0.415</v>
      </c>
      <c r="F198" s="12" t="n">
        <v>7.61</v>
      </c>
      <c r="G198" s="12" t="n">
        <v>15.7</v>
      </c>
      <c r="H198" s="12" t="n">
        <v>6.27</v>
      </c>
      <c r="I198" s="12" t="n">
        <v>2</v>
      </c>
      <c r="J198" s="12" t="n">
        <v>348</v>
      </c>
      <c r="K198" s="12" t="n">
        <v>14.7</v>
      </c>
      <c r="L198" s="12" t="n">
        <v>395.38</v>
      </c>
      <c r="M198" s="12" t="n">
        <v>3.11</v>
      </c>
      <c r="N198" s="12" t="n">
        <v>42.3</v>
      </c>
    </row>
    <row r="199" customFormat="false" ht="15" hidden="false" customHeight="false" outlineLevel="0" collapsed="false">
      <c r="A199" s="14" t="n">
        <v>0.0351</v>
      </c>
      <c r="B199" s="14" t="n">
        <v>95</v>
      </c>
      <c r="C199" s="14" t="n">
        <v>2.68</v>
      </c>
      <c r="D199" s="15" t="n">
        <v>0</v>
      </c>
      <c r="E199" s="14" t="n">
        <v>0.4161</v>
      </c>
      <c r="F199" s="14" t="n">
        <v>7.853</v>
      </c>
      <c r="G199" s="14" t="n">
        <v>33.2</v>
      </c>
      <c r="H199" s="14" t="n">
        <v>5.118</v>
      </c>
      <c r="I199" s="14" t="n">
        <v>4</v>
      </c>
      <c r="J199" s="14" t="n">
        <v>224</v>
      </c>
      <c r="K199" s="14" t="n">
        <v>14.7</v>
      </c>
      <c r="L199" s="14" t="n">
        <v>392.78</v>
      </c>
      <c r="M199" s="14" t="n">
        <v>3.81</v>
      </c>
      <c r="N199" s="14" t="n">
        <v>48.5</v>
      </c>
    </row>
    <row r="200" customFormat="false" ht="15" hidden="false" customHeight="false" outlineLevel="0" collapsed="false">
      <c r="A200" s="12" t="n">
        <v>0.13642</v>
      </c>
      <c r="B200" s="12" t="n">
        <v>0</v>
      </c>
      <c r="C200" s="12" t="n">
        <v>10.59</v>
      </c>
      <c r="D200" s="13" t="n">
        <v>0</v>
      </c>
      <c r="E200" s="12" t="n">
        <v>0.489</v>
      </c>
      <c r="F200" s="12" t="n">
        <v>5.891</v>
      </c>
      <c r="G200" s="12" t="n">
        <v>22.3</v>
      </c>
      <c r="H200" s="12" t="n">
        <v>3.9454</v>
      </c>
      <c r="I200" s="12" t="n">
        <v>4</v>
      </c>
      <c r="J200" s="12" t="n">
        <v>277</v>
      </c>
      <c r="K200" s="12" t="n">
        <v>18.6</v>
      </c>
      <c r="L200" s="12" t="n">
        <v>396.9</v>
      </c>
      <c r="M200" s="12" t="n">
        <v>10.87</v>
      </c>
      <c r="N200" s="12" t="n">
        <v>22.6</v>
      </c>
    </row>
    <row r="201" customFormat="false" ht="15" hidden="false" customHeight="false" outlineLevel="0" collapsed="false">
      <c r="A201" s="14" t="n">
        <v>0.22969</v>
      </c>
      <c r="B201" s="14" t="n">
        <v>0</v>
      </c>
      <c r="C201" s="14" t="n">
        <v>10.59</v>
      </c>
      <c r="D201" s="15" t="n">
        <v>0</v>
      </c>
      <c r="E201" s="14" t="n">
        <v>0.489</v>
      </c>
      <c r="F201" s="14" t="n">
        <v>6.326</v>
      </c>
      <c r="G201" s="14" t="n">
        <v>52.5</v>
      </c>
      <c r="H201" s="14" t="n">
        <v>4.3549</v>
      </c>
      <c r="I201" s="14" t="n">
        <v>4</v>
      </c>
      <c r="J201" s="14" t="n">
        <v>277</v>
      </c>
      <c r="K201" s="14" t="n">
        <v>18.6</v>
      </c>
      <c r="L201" s="14" t="n">
        <v>394.87</v>
      </c>
      <c r="M201" s="14" t="n">
        <v>10.97</v>
      </c>
      <c r="N201" s="14" t="n">
        <v>24.4</v>
      </c>
    </row>
    <row r="202" customFormat="false" ht="15" hidden="false" customHeight="false" outlineLevel="0" collapsed="false">
      <c r="A202" s="12" t="n">
        <v>0.25199</v>
      </c>
      <c r="B202" s="12" t="n">
        <v>0</v>
      </c>
      <c r="C202" s="12" t="n">
        <v>10.59</v>
      </c>
      <c r="D202" s="13" t="n">
        <v>0</v>
      </c>
      <c r="E202" s="12" t="n">
        <v>0.489</v>
      </c>
      <c r="F202" s="12" t="n">
        <v>5.783</v>
      </c>
      <c r="G202" s="12" t="n">
        <v>72.7</v>
      </c>
      <c r="H202" s="12" t="n">
        <v>4.3549</v>
      </c>
      <c r="I202" s="12" t="n">
        <v>4</v>
      </c>
      <c r="J202" s="12" t="n">
        <v>277</v>
      </c>
      <c r="K202" s="12" t="n">
        <v>18.6</v>
      </c>
      <c r="L202" s="12" t="n">
        <v>389.43</v>
      </c>
      <c r="M202" s="12" t="n">
        <v>18.06</v>
      </c>
      <c r="N202" s="12" t="n">
        <v>22.5</v>
      </c>
    </row>
    <row r="203" customFormat="false" ht="15" hidden="false" customHeight="false" outlineLevel="0" collapsed="false">
      <c r="A203" s="14" t="n">
        <v>0.13587</v>
      </c>
      <c r="B203" s="14" t="n">
        <v>0</v>
      </c>
      <c r="C203" s="14" t="n">
        <v>10.59</v>
      </c>
      <c r="D203" s="15" t="n">
        <v>1</v>
      </c>
      <c r="E203" s="14" t="n">
        <v>0.489</v>
      </c>
      <c r="F203" s="14" t="n">
        <v>6.064</v>
      </c>
      <c r="G203" s="14" t="n">
        <v>59.1</v>
      </c>
      <c r="H203" s="14" t="n">
        <v>4.2392</v>
      </c>
      <c r="I203" s="14" t="n">
        <v>4</v>
      </c>
      <c r="J203" s="14" t="n">
        <v>277</v>
      </c>
      <c r="K203" s="14" t="n">
        <v>18.6</v>
      </c>
      <c r="L203" s="14" t="n">
        <v>381.32</v>
      </c>
      <c r="M203" s="14" t="n">
        <v>14.66</v>
      </c>
      <c r="N203" s="14" t="n">
        <v>24.4</v>
      </c>
    </row>
    <row r="204" customFormat="false" ht="15" hidden="false" customHeight="false" outlineLevel="0" collapsed="false">
      <c r="A204" s="12" t="n">
        <v>0.43571</v>
      </c>
      <c r="B204" s="12" t="n">
        <v>0</v>
      </c>
      <c r="C204" s="12" t="n">
        <v>10.59</v>
      </c>
      <c r="D204" s="13" t="n">
        <v>1</v>
      </c>
      <c r="E204" s="12" t="n">
        <v>0.489</v>
      </c>
      <c r="F204" s="12" t="n">
        <v>5.344</v>
      </c>
      <c r="G204" s="12" t="n">
        <v>100</v>
      </c>
      <c r="H204" s="12" t="n">
        <v>3.875</v>
      </c>
      <c r="I204" s="12" t="n">
        <v>4</v>
      </c>
      <c r="J204" s="12" t="n">
        <v>277</v>
      </c>
      <c r="K204" s="12" t="n">
        <v>18.6</v>
      </c>
      <c r="L204" s="12" t="n">
        <v>396.9</v>
      </c>
      <c r="M204" s="12" t="n">
        <v>23.09</v>
      </c>
      <c r="N204" s="12" t="n">
        <v>20</v>
      </c>
    </row>
    <row r="205" customFormat="false" ht="15" hidden="false" customHeight="false" outlineLevel="0" collapsed="false">
      <c r="A205" s="14" t="n">
        <v>0.17446</v>
      </c>
      <c r="B205" s="14" t="n">
        <v>0</v>
      </c>
      <c r="C205" s="14" t="n">
        <v>10.59</v>
      </c>
      <c r="D205" s="15" t="n">
        <v>1</v>
      </c>
      <c r="E205" s="14" t="n">
        <v>0.489</v>
      </c>
      <c r="F205" s="14" t="n">
        <v>5.96</v>
      </c>
      <c r="G205" s="14" t="n">
        <v>92.1</v>
      </c>
      <c r="H205" s="14" t="n">
        <v>3.8771</v>
      </c>
      <c r="I205" s="14" t="n">
        <v>4</v>
      </c>
      <c r="J205" s="14" t="n">
        <v>277</v>
      </c>
      <c r="K205" s="14" t="n">
        <v>18.6</v>
      </c>
      <c r="L205" s="14" t="n">
        <v>393.25</v>
      </c>
      <c r="M205" s="14" t="n">
        <v>17.27</v>
      </c>
      <c r="N205" s="14" t="n">
        <v>21.7</v>
      </c>
    </row>
    <row r="206" customFormat="false" ht="15" hidden="false" customHeight="false" outlineLevel="0" collapsed="false">
      <c r="A206" s="12" t="n">
        <v>0.37578</v>
      </c>
      <c r="B206" s="12" t="n">
        <v>0</v>
      </c>
      <c r="C206" s="12" t="n">
        <v>10.59</v>
      </c>
      <c r="D206" s="13" t="n">
        <v>1</v>
      </c>
      <c r="E206" s="12" t="n">
        <v>0.489</v>
      </c>
      <c r="F206" s="12" t="n">
        <v>5.404</v>
      </c>
      <c r="G206" s="12" t="n">
        <v>88.6</v>
      </c>
      <c r="H206" s="12" t="n">
        <v>3.665</v>
      </c>
      <c r="I206" s="12" t="n">
        <v>4</v>
      </c>
      <c r="J206" s="12" t="n">
        <v>277</v>
      </c>
      <c r="K206" s="12" t="n">
        <v>18.6</v>
      </c>
      <c r="L206" s="12" t="n">
        <v>395.24</v>
      </c>
      <c r="M206" s="12" t="n">
        <v>23.98</v>
      </c>
      <c r="N206" s="12" t="n">
        <v>19.3</v>
      </c>
    </row>
    <row r="207" customFormat="false" ht="15" hidden="false" customHeight="false" outlineLevel="0" collapsed="false">
      <c r="A207" s="14" t="n">
        <v>0.21719</v>
      </c>
      <c r="B207" s="14" t="n">
        <v>0</v>
      </c>
      <c r="C207" s="14" t="n">
        <v>10.59</v>
      </c>
      <c r="D207" s="15" t="n">
        <v>1</v>
      </c>
      <c r="E207" s="14" t="n">
        <v>0.489</v>
      </c>
      <c r="F207" s="14" t="n">
        <v>5.807</v>
      </c>
      <c r="G207" s="14" t="n">
        <v>53.8</v>
      </c>
      <c r="H207" s="14" t="n">
        <v>3.6526</v>
      </c>
      <c r="I207" s="14" t="n">
        <v>4</v>
      </c>
      <c r="J207" s="14" t="n">
        <v>277</v>
      </c>
      <c r="K207" s="14" t="n">
        <v>18.6</v>
      </c>
      <c r="L207" s="14" t="n">
        <v>390.94</v>
      </c>
      <c r="M207" s="14" t="n">
        <v>16.03</v>
      </c>
      <c r="N207" s="14" t="n">
        <v>22.4</v>
      </c>
    </row>
    <row r="208" customFormat="false" ht="15" hidden="false" customHeight="false" outlineLevel="0" collapsed="false">
      <c r="A208" s="12" t="n">
        <v>0.14052</v>
      </c>
      <c r="B208" s="12" t="n">
        <v>0</v>
      </c>
      <c r="C208" s="12" t="n">
        <v>10.59</v>
      </c>
      <c r="D208" s="13" t="n">
        <v>0</v>
      </c>
      <c r="E208" s="12" t="n">
        <v>0.489</v>
      </c>
      <c r="F208" s="12" t="n">
        <v>6.375</v>
      </c>
      <c r="G208" s="12" t="n">
        <v>32.3</v>
      </c>
      <c r="H208" s="12" t="n">
        <v>3.9454</v>
      </c>
      <c r="I208" s="12" t="n">
        <v>4</v>
      </c>
      <c r="J208" s="12" t="n">
        <v>277</v>
      </c>
      <c r="K208" s="12" t="n">
        <v>18.6</v>
      </c>
      <c r="L208" s="12" t="n">
        <v>385.81</v>
      </c>
      <c r="M208" s="12" t="n">
        <v>9.38</v>
      </c>
      <c r="N208" s="12" t="n">
        <v>28.1</v>
      </c>
    </row>
    <row r="209" customFormat="false" ht="15" hidden="false" customHeight="false" outlineLevel="0" collapsed="false">
      <c r="A209" s="14" t="n">
        <v>0.28955</v>
      </c>
      <c r="B209" s="14" t="n">
        <v>0</v>
      </c>
      <c r="C209" s="14" t="n">
        <v>10.59</v>
      </c>
      <c r="D209" s="15" t="n">
        <v>0</v>
      </c>
      <c r="E209" s="14" t="n">
        <v>0.489</v>
      </c>
      <c r="F209" s="14" t="n">
        <v>5.412</v>
      </c>
      <c r="G209" s="14" t="n">
        <v>9.8</v>
      </c>
      <c r="H209" s="14" t="n">
        <v>3.5875</v>
      </c>
      <c r="I209" s="14" t="n">
        <v>4</v>
      </c>
      <c r="J209" s="14" t="n">
        <v>277</v>
      </c>
      <c r="K209" s="14" t="n">
        <v>18.6</v>
      </c>
      <c r="L209" s="14" t="n">
        <v>348.93</v>
      </c>
      <c r="M209" s="14" t="n">
        <v>29.55</v>
      </c>
      <c r="N209" s="14" t="n">
        <v>23.7</v>
      </c>
    </row>
    <row r="210" customFormat="false" ht="15" hidden="false" customHeight="false" outlineLevel="0" collapsed="false">
      <c r="A210" s="12" t="n">
        <v>0.19802</v>
      </c>
      <c r="B210" s="12" t="n">
        <v>0</v>
      </c>
      <c r="C210" s="12" t="n">
        <v>10.59</v>
      </c>
      <c r="D210" s="13" t="n">
        <v>0</v>
      </c>
      <c r="E210" s="12" t="n">
        <v>0.489</v>
      </c>
      <c r="F210" s="12" t="n">
        <v>6.182</v>
      </c>
      <c r="G210" s="12" t="n">
        <v>42.4</v>
      </c>
      <c r="H210" s="12" t="n">
        <v>3.9454</v>
      </c>
      <c r="I210" s="12" t="n">
        <v>4</v>
      </c>
      <c r="J210" s="12" t="n">
        <v>277</v>
      </c>
      <c r="K210" s="12" t="n">
        <v>18.6</v>
      </c>
      <c r="L210" s="12" t="n">
        <v>393.63</v>
      </c>
      <c r="M210" s="12" t="n">
        <v>9.47</v>
      </c>
      <c r="N210" s="12" t="n">
        <v>25</v>
      </c>
    </row>
    <row r="211" customFormat="false" ht="15" hidden="false" customHeight="false" outlineLevel="0" collapsed="false">
      <c r="A211" s="14" t="n">
        <v>0.0456</v>
      </c>
      <c r="B211" s="14" t="n">
        <v>0</v>
      </c>
      <c r="C211" s="14" t="n">
        <v>13.89</v>
      </c>
      <c r="D211" s="15" t="n">
        <v>1</v>
      </c>
      <c r="E211" s="14" t="n">
        <v>0.55</v>
      </c>
      <c r="F211" s="14" t="n">
        <v>5.888</v>
      </c>
      <c r="G211" s="14" t="n">
        <v>56</v>
      </c>
      <c r="H211" s="14" t="n">
        <v>3.1121</v>
      </c>
      <c r="I211" s="14" t="n">
        <v>5</v>
      </c>
      <c r="J211" s="14" t="n">
        <v>276</v>
      </c>
      <c r="K211" s="14" t="n">
        <v>16.4</v>
      </c>
      <c r="L211" s="14" t="n">
        <v>392.8</v>
      </c>
      <c r="M211" s="14" t="n">
        <v>13.51</v>
      </c>
      <c r="N211" s="14" t="n">
        <v>23.3</v>
      </c>
    </row>
    <row r="212" customFormat="false" ht="15" hidden="false" customHeight="false" outlineLevel="0" collapsed="false">
      <c r="A212" s="12" t="n">
        <v>0.07013</v>
      </c>
      <c r="B212" s="12" t="n">
        <v>0</v>
      </c>
      <c r="C212" s="12" t="n">
        <v>13.89</v>
      </c>
      <c r="D212" s="13" t="n">
        <v>0</v>
      </c>
      <c r="E212" s="12" t="n">
        <v>0.55</v>
      </c>
      <c r="F212" s="12" t="n">
        <v>6.642</v>
      </c>
      <c r="G212" s="12" t="n">
        <v>85.1</v>
      </c>
      <c r="H212" s="12" t="n">
        <v>3.4211</v>
      </c>
      <c r="I212" s="12" t="n">
        <v>5</v>
      </c>
      <c r="J212" s="12" t="n">
        <v>276</v>
      </c>
      <c r="K212" s="12" t="n">
        <v>16.4</v>
      </c>
      <c r="L212" s="12" t="n">
        <v>392.78</v>
      </c>
      <c r="M212" s="12" t="n">
        <v>9.69</v>
      </c>
      <c r="N212" s="12" t="n">
        <v>28.7</v>
      </c>
    </row>
    <row r="213" customFormat="false" ht="15" hidden="false" customHeight="false" outlineLevel="0" collapsed="false">
      <c r="A213" s="14" t="n">
        <v>0.11069</v>
      </c>
      <c r="B213" s="14" t="n">
        <v>0</v>
      </c>
      <c r="C213" s="14" t="n">
        <v>13.89</v>
      </c>
      <c r="D213" s="15" t="n">
        <v>1</v>
      </c>
      <c r="E213" s="14" t="n">
        <v>0.55</v>
      </c>
      <c r="F213" s="14" t="n">
        <v>5.951</v>
      </c>
      <c r="G213" s="14" t="n">
        <v>93.8</v>
      </c>
      <c r="H213" s="14" t="n">
        <v>2.8893</v>
      </c>
      <c r="I213" s="14" t="n">
        <v>5</v>
      </c>
      <c r="J213" s="14" t="n">
        <v>276</v>
      </c>
      <c r="K213" s="14" t="n">
        <v>16.4</v>
      </c>
      <c r="L213" s="14" t="n">
        <v>396.9</v>
      </c>
      <c r="M213" s="14" t="n">
        <v>17.92</v>
      </c>
      <c r="N213" s="14" t="n">
        <v>21.5</v>
      </c>
    </row>
    <row r="214" customFormat="false" ht="15" hidden="false" customHeight="false" outlineLevel="0" collapsed="false">
      <c r="A214" s="12" t="n">
        <v>0.11425</v>
      </c>
      <c r="B214" s="12" t="n">
        <v>0</v>
      </c>
      <c r="C214" s="12" t="n">
        <v>13.89</v>
      </c>
      <c r="D214" s="13" t="n">
        <v>1</v>
      </c>
      <c r="E214" s="12" t="n">
        <v>0.55</v>
      </c>
      <c r="F214" s="12" t="n">
        <v>6.373</v>
      </c>
      <c r="G214" s="12" t="n">
        <v>92.4</v>
      </c>
      <c r="H214" s="12" t="n">
        <v>3.3633</v>
      </c>
      <c r="I214" s="12" t="n">
        <v>5</v>
      </c>
      <c r="J214" s="12" t="n">
        <v>276</v>
      </c>
      <c r="K214" s="12" t="n">
        <v>16.4</v>
      </c>
      <c r="L214" s="12" t="n">
        <v>393.74</v>
      </c>
      <c r="M214" s="12" t="n">
        <v>10.5</v>
      </c>
      <c r="N214" s="12" t="n">
        <v>23</v>
      </c>
    </row>
    <row r="215" customFormat="false" ht="15" hidden="false" customHeight="false" outlineLevel="0" collapsed="false">
      <c r="A215" s="14" t="n">
        <v>0.35809</v>
      </c>
      <c r="B215" s="14" t="n">
        <v>0</v>
      </c>
      <c r="C215" s="14" t="n">
        <v>6.2</v>
      </c>
      <c r="D215" s="15" t="n">
        <v>1</v>
      </c>
      <c r="E215" s="14" t="n">
        <v>0.507</v>
      </c>
      <c r="F215" s="14" t="n">
        <v>6.951</v>
      </c>
      <c r="G215" s="14" t="n">
        <v>88.5</v>
      </c>
      <c r="H215" s="14" t="n">
        <v>2.8617</v>
      </c>
      <c r="I215" s="14" t="n">
        <v>8</v>
      </c>
      <c r="J215" s="14" t="n">
        <v>307</v>
      </c>
      <c r="K215" s="14" t="n">
        <v>17.4</v>
      </c>
      <c r="L215" s="14" t="n">
        <v>391.7</v>
      </c>
      <c r="M215" s="14" t="n">
        <v>9.71</v>
      </c>
      <c r="N215" s="14" t="n">
        <v>26.7</v>
      </c>
    </row>
    <row r="216" customFormat="false" ht="15" hidden="false" customHeight="false" outlineLevel="0" collapsed="false">
      <c r="A216" s="12" t="n">
        <v>0.40771</v>
      </c>
      <c r="B216" s="12" t="n">
        <v>0</v>
      </c>
      <c r="C216" s="12" t="n">
        <v>6.2</v>
      </c>
      <c r="D216" s="13" t="n">
        <v>1</v>
      </c>
      <c r="E216" s="12" t="n">
        <v>0.507</v>
      </c>
      <c r="F216" s="12" t="n">
        <v>6.164</v>
      </c>
      <c r="G216" s="12" t="n">
        <v>91.3</v>
      </c>
      <c r="H216" s="12" t="n">
        <v>3.048</v>
      </c>
      <c r="I216" s="12" t="n">
        <v>8</v>
      </c>
      <c r="J216" s="12" t="n">
        <v>307</v>
      </c>
      <c r="K216" s="12" t="n">
        <v>17.4</v>
      </c>
      <c r="L216" s="12" t="n">
        <v>395.24</v>
      </c>
      <c r="M216" s="12" t="n">
        <v>21.46</v>
      </c>
      <c r="N216" s="12" t="n">
        <v>21.7</v>
      </c>
    </row>
    <row r="217" customFormat="false" ht="15" hidden="false" customHeight="false" outlineLevel="0" collapsed="false">
      <c r="A217" s="14" t="n">
        <v>0.62356</v>
      </c>
      <c r="B217" s="14" t="n">
        <v>0</v>
      </c>
      <c r="C217" s="14" t="n">
        <v>6.2</v>
      </c>
      <c r="D217" s="15" t="n">
        <v>1</v>
      </c>
      <c r="E217" s="14" t="n">
        <v>0.507</v>
      </c>
      <c r="F217" s="14" t="n">
        <v>6.879</v>
      </c>
      <c r="G217" s="14" t="n">
        <v>77.7</v>
      </c>
      <c r="H217" s="14" t="n">
        <v>3.2721</v>
      </c>
      <c r="I217" s="14" t="n">
        <v>8</v>
      </c>
      <c r="J217" s="14" t="n">
        <v>307</v>
      </c>
      <c r="K217" s="14" t="n">
        <v>17.4</v>
      </c>
      <c r="L217" s="14" t="n">
        <v>390.39</v>
      </c>
      <c r="M217" s="14" t="n">
        <v>9.93</v>
      </c>
      <c r="N217" s="14" t="n">
        <v>27.5</v>
      </c>
    </row>
    <row r="218" customFormat="false" ht="15" hidden="false" customHeight="false" outlineLevel="0" collapsed="false">
      <c r="A218" s="12" t="n">
        <v>0.6147</v>
      </c>
      <c r="B218" s="12" t="n">
        <v>0</v>
      </c>
      <c r="C218" s="12" t="n">
        <v>6.2</v>
      </c>
      <c r="D218" s="13" t="n">
        <v>0</v>
      </c>
      <c r="E218" s="12" t="n">
        <v>0.507</v>
      </c>
      <c r="F218" s="12" t="n">
        <v>6.618</v>
      </c>
      <c r="G218" s="12" t="n">
        <v>80.8</v>
      </c>
      <c r="H218" s="12" t="n">
        <v>3.2721</v>
      </c>
      <c r="I218" s="12" t="n">
        <v>8</v>
      </c>
      <c r="J218" s="12" t="n">
        <v>307</v>
      </c>
      <c r="K218" s="12" t="n">
        <v>17.4</v>
      </c>
      <c r="L218" s="12" t="n">
        <v>396.9</v>
      </c>
      <c r="M218" s="12" t="n">
        <v>7.6</v>
      </c>
      <c r="N218" s="12" t="n">
        <v>30.1</v>
      </c>
    </row>
    <row r="219" customFormat="false" ht="15" hidden="false" customHeight="false" outlineLevel="0" collapsed="false">
      <c r="A219" s="14" t="n">
        <v>0.31533</v>
      </c>
      <c r="B219" s="14" t="n">
        <v>0</v>
      </c>
      <c r="C219" s="14" t="n">
        <v>6.2</v>
      </c>
      <c r="D219" s="15" t="n">
        <v>0</v>
      </c>
      <c r="E219" s="14" t="n">
        <v>0.504</v>
      </c>
      <c r="F219" s="14" t="n">
        <v>8.266</v>
      </c>
      <c r="G219" s="14" t="n">
        <v>78.3</v>
      </c>
      <c r="H219" s="14" t="n">
        <v>2.8944</v>
      </c>
      <c r="I219" s="14" t="n">
        <v>8</v>
      </c>
      <c r="J219" s="14" t="n">
        <v>307</v>
      </c>
      <c r="K219" s="14" t="n">
        <v>17.4</v>
      </c>
      <c r="L219" s="14" t="n">
        <v>385.05</v>
      </c>
      <c r="M219" s="14" t="n">
        <v>4.14</v>
      </c>
      <c r="N219" s="14" t="n">
        <v>44.8</v>
      </c>
    </row>
    <row r="220" customFormat="false" ht="15" hidden="false" customHeight="false" outlineLevel="0" collapsed="false">
      <c r="A220" s="12" t="n">
        <v>0.38214</v>
      </c>
      <c r="B220" s="12" t="n">
        <v>0</v>
      </c>
      <c r="C220" s="12" t="n">
        <v>6.2</v>
      </c>
      <c r="D220" s="13" t="n">
        <v>0</v>
      </c>
      <c r="E220" s="12" t="n">
        <v>0.504</v>
      </c>
      <c r="F220" s="12" t="n">
        <v>8.04</v>
      </c>
      <c r="G220" s="12" t="n">
        <v>86.5</v>
      </c>
      <c r="H220" s="12" t="n">
        <v>3.2157</v>
      </c>
      <c r="I220" s="12" t="n">
        <v>8</v>
      </c>
      <c r="J220" s="12" t="n">
        <v>307</v>
      </c>
      <c r="K220" s="12" t="n">
        <v>17.4</v>
      </c>
      <c r="L220" s="12" t="n">
        <v>387.38</v>
      </c>
      <c r="M220" s="12" t="n">
        <v>3.13</v>
      </c>
      <c r="N220" s="12" t="n">
        <v>37.6</v>
      </c>
    </row>
    <row r="221" customFormat="false" ht="15" hidden="false" customHeight="false" outlineLevel="0" collapsed="false">
      <c r="A221" s="14" t="n">
        <v>0.41238</v>
      </c>
      <c r="B221" s="14" t="n">
        <v>0</v>
      </c>
      <c r="C221" s="14" t="n">
        <v>6.2</v>
      </c>
      <c r="D221" s="15" t="n">
        <v>0</v>
      </c>
      <c r="E221" s="14" t="n">
        <v>0.504</v>
      </c>
      <c r="F221" s="14" t="n">
        <v>7.163</v>
      </c>
      <c r="G221" s="14" t="n">
        <v>79.9</v>
      </c>
      <c r="H221" s="14" t="n">
        <v>3.2157</v>
      </c>
      <c r="I221" s="14" t="n">
        <v>8</v>
      </c>
      <c r="J221" s="14" t="n">
        <v>307</v>
      </c>
      <c r="K221" s="14" t="n">
        <v>17.4</v>
      </c>
      <c r="L221" s="14" t="n">
        <v>372.08</v>
      </c>
      <c r="M221" s="14" t="n">
        <v>6.36</v>
      </c>
      <c r="N221" s="14" t="n">
        <v>31.6</v>
      </c>
    </row>
    <row r="222" customFormat="false" ht="15" hidden="false" customHeight="false" outlineLevel="0" collapsed="false">
      <c r="A222" s="12" t="n">
        <v>0.29819</v>
      </c>
      <c r="B222" s="12" t="n">
        <v>0</v>
      </c>
      <c r="C222" s="12" t="n">
        <v>6.2</v>
      </c>
      <c r="D222" s="13" t="n">
        <v>0</v>
      </c>
      <c r="E222" s="12" t="n">
        <v>0.504</v>
      </c>
      <c r="F222" s="12" t="n">
        <v>7.686</v>
      </c>
      <c r="G222" s="12" t="n">
        <v>17</v>
      </c>
      <c r="H222" s="12" t="n">
        <v>3.3751</v>
      </c>
      <c r="I222" s="12" t="n">
        <v>8</v>
      </c>
      <c r="J222" s="12" t="n">
        <v>307</v>
      </c>
      <c r="K222" s="12" t="n">
        <v>17.4</v>
      </c>
      <c r="L222" s="12" t="n">
        <v>377.51</v>
      </c>
      <c r="M222" s="12" t="n">
        <v>3.92</v>
      </c>
      <c r="N222" s="12" t="n">
        <v>46.7</v>
      </c>
    </row>
    <row r="223" customFormat="false" ht="15" hidden="false" customHeight="false" outlineLevel="0" collapsed="false">
      <c r="A223" s="14" t="n">
        <v>0.44178</v>
      </c>
      <c r="B223" s="14" t="n">
        <v>0</v>
      </c>
      <c r="C223" s="14" t="n">
        <v>6.2</v>
      </c>
      <c r="D223" s="15" t="n">
        <v>0</v>
      </c>
      <c r="E223" s="14" t="n">
        <v>0.504</v>
      </c>
      <c r="F223" s="14" t="n">
        <v>6.552</v>
      </c>
      <c r="G223" s="14" t="n">
        <v>21.4</v>
      </c>
      <c r="H223" s="14" t="n">
        <v>3.3751</v>
      </c>
      <c r="I223" s="14" t="n">
        <v>8</v>
      </c>
      <c r="J223" s="14" t="n">
        <v>307</v>
      </c>
      <c r="K223" s="14" t="n">
        <v>17.4</v>
      </c>
      <c r="L223" s="14" t="n">
        <v>380.34</v>
      </c>
      <c r="M223" s="14" t="n">
        <v>3.76</v>
      </c>
      <c r="N223" s="14" t="n">
        <v>31.5</v>
      </c>
    </row>
    <row r="224" customFormat="false" ht="15" hidden="false" customHeight="false" outlineLevel="0" collapsed="false">
      <c r="A224" s="12" t="n">
        <v>0.537</v>
      </c>
      <c r="B224" s="12" t="n">
        <v>0</v>
      </c>
      <c r="C224" s="12" t="n">
        <v>6.2</v>
      </c>
      <c r="D224" s="13" t="n">
        <v>0</v>
      </c>
      <c r="E224" s="12" t="n">
        <v>0.504</v>
      </c>
      <c r="F224" s="12" t="n">
        <v>5.981</v>
      </c>
      <c r="G224" s="12" t="n">
        <v>68.1</v>
      </c>
      <c r="H224" s="12" t="n">
        <v>3.6715</v>
      </c>
      <c r="I224" s="12" t="n">
        <v>8</v>
      </c>
      <c r="J224" s="12" t="n">
        <v>307</v>
      </c>
      <c r="K224" s="12" t="n">
        <v>17.4</v>
      </c>
      <c r="L224" s="12" t="n">
        <v>378.35</v>
      </c>
      <c r="M224" s="12" t="n">
        <v>11.65</v>
      </c>
      <c r="N224" s="12" t="n">
        <v>24.3</v>
      </c>
    </row>
    <row r="225" customFormat="false" ht="15" hidden="false" customHeight="false" outlineLevel="0" collapsed="false">
      <c r="A225" s="14" t="n">
        <v>0.46296</v>
      </c>
      <c r="B225" s="14" t="n">
        <v>0</v>
      </c>
      <c r="C225" s="14" t="n">
        <v>6.2</v>
      </c>
      <c r="D225" s="15" t="n">
        <v>0</v>
      </c>
      <c r="E225" s="14" t="n">
        <v>0.504</v>
      </c>
      <c r="F225" s="14" t="n">
        <v>7.412</v>
      </c>
      <c r="G225" s="14" t="n">
        <v>76.9</v>
      </c>
      <c r="H225" s="14" t="n">
        <v>3.6715</v>
      </c>
      <c r="I225" s="14" t="n">
        <v>8</v>
      </c>
      <c r="J225" s="14" t="n">
        <v>307</v>
      </c>
      <c r="K225" s="14" t="n">
        <v>17.4</v>
      </c>
      <c r="L225" s="14" t="n">
        <v>376.14</v>
      </c>
      <c r="M225" s="14" t="n">
        <v>5.25</v>
      </c>
      <c r="N225" s="14" t="n">
        <v>31.7</v>
      </c>
    </row>
    <row r="226" customFormat="false" ht="15" hidden="false" customHeight="false" outlineLevel="0" collapsed="false">
      <c r="A226" s="12" t="n">
        <v>0.57529</v>
      </c>
      <c r="B226" s="12" t="n">
        <v>0</v>
      </c>
      <c r="C226" s="12" t="n">
        <v>6.2</v>
      </c>
      <c r="D226" s="13" t="n">
        <v>0</v>
      </c>
      <c r="E226" s="12" t="n">
        <v>0.507</v>
      </c>
      <c r="F226" s="12" t="n">
        <v>8.337</v>
      </c>
      <c r="G226" s="12" t="n">
        <v>73.3</v>
      </c>
      <c r="H226" s="12" t="n">
        <v>3.8384</v>
      </c>
      <c r="I226" s="12" t="n">
        <v>8</v>
      </c>
      <c r="J226" s="12" t="n">
        <v>307</v>
      </c>
      <c r="K226" s="12" t="n">
        <v>17.4</v>
      </c>
      <c r="L226" s="12" t="n">
        <v>385.91</v>
      </c>
      <c r="M226" s="12" t="n">
        <v>2.47</v>
      </c>
      <c r="N226" s="12" t="n">
        <v>41.7</v>
      </c>
    </row>
    <row r="227" customFormat="false" ht="15" hidden="false" customHeight="false" outlineLevel="0" collapsed="false">
      <c r="A227" s="14" t="n">
        <v>0.33147</v>
      </c>
      <c r="B227" s="14" t="n">
        <v>0</v>
      </c>
      <c r="C227" s="14" t="n">
        <v>6.2</v>
      </c>
      <c r="D227" s="15" t="n">
        <v>0</v>
      </c>
      <c r="E227" s="14" t="n">
        <v>0.507</v>
      </c>
      <c r="F227" s="14" t="n">
        <v>8.247</v>
      </c>
      <c r="G227" s="14" t="n">
        <v>70.4</v>
      </c>
      <c r="H227" s="14" t="n">
        <v>3.6519</v>
      </c>
      <c r="I227" s="14" t="n">
        <v>8</v>
      </c>
      <c r="J227" s="14" t="n">
        <v>307</v>
      </c>
      <c r="K227" s="14" t="n">
        <v>17.4</v>
      </c>
      <c r="L227" s="14" t="n">
        <v>378.95</v>
      </c>
      <c r="M227" s="14" t="n">
        <v>3.95</v>
      </c>
      <c r="N227" s="14" t="n">
        <v>48.3</v>
      </c>
    </row>
    <row r="228" customFormat="false" ht="15" hidden="false" customHeight="false" outlineLevel="0" collapsed="false">
      <c r="A228" s="12" t="n">
        <v>0.44791</v>
      </c>
      <c r="B228" s="12" t="n">
        <v>0</v>
      </c>
      <c r="C228" s="12" t="n">
        <v>6.2</v>
      </c>
      <c r="D228" s="13" t="n">
        <v>1</v>
      </c>
      <c r="E228" s="12" t="n">
        <v>0.507</v>
      </c>
      <c r="F228" s="12" t="n">
        <v>6.726</v>
      </c>
      <c r="G228" s="12" t="n">
        <v>66.5</v>
      </c>
      <c r="H228" s="12" t="n">
        <v>3.6519</v>
      </c>
      <c r="I228" s="12" t="n">
        <v>8</v>
      </c>
      <c r="J228" s="12" t="n">
        <v>307</v>
      </c>
      <c r="K228" s="12" t="n">
        <v>17.4</v>
      </c>
      <c r="L228" s="12" t="n">
        <v>360.2</v>
      </c>
      <c r="M228" s="12" t="n">
        <v>8.05</v>
      </c>
      <c r="N228" s="12" t="n">
        <v>29</v>
      </c>
    </row>
    <row r="229" customFormat="false" ht="15" hidden="false" customHeight="false" outlineLevel="0" collapsed="false">
      <c r="A229" s="14" t="n">
        <v>0.33045</v>
      </c>
      <c r="B229" s="14" t="n">
        <v>0</v>
      </c>
      <c r="C229" s="14" t="n">
        <v>6.2</v>
      </c>
      <c r="D229" s="15" t="n">
        <v>0</v>
      </c>
      <c r="E229" s="14" t="n">
        <v>0.507</v>
      </c>
      <c r="F229" s="14" t="n">
        <v>6.086</v>
      </c>
      <c r="G229" s="14" t="n">
        <v>61.5</v>
      </c>
      <c r="H229" s="14" t="n">
        <v>3.6519</v>
      </c>
      <c r="I229" s="14" t="n">
        <v>8</v>
      </c>
      <c r="J229" s="14" t="n">
        <v>307</v>
      </c>
      <c r="K229" s="14" t="n">
        <v>17.4</v>
      </c>
      <c r="L229" s="14" t="n">
        <v>376.75</v>
      </c>
      <c r="M229" s="14" t="n">
        <v>10.88</v>
      </c>
      <c r="N229" s="14" t="n">
        <v>24</v>
      </c>
    </row>
    <row r="230" customFormat="false" ht="15" hidden="false" customHeight="false" outlineLevel="0" collapsed="false">
      <c r="A230" s="12" t="n">
        <v>0.52058</v>
      </c>
      <c r="B230" s="12" t="n">
        <v>0</v>
      </c>
      <c r="C230" s="12" t="n">
        <v>6.2</v>
      </c>
      <c r="D230" s="13" t="n">
        <v>1</v>
      </c>
      <c r="E230" s="12" t="n">
        <v>0.507</v>
      </c>
      <c r="F230" s="12" t="n">
        <v>6.631</v>
      </c>
      <c r="G230" s="12" t="n">
        <v>76.5</v>
      </c>
      <c r="H230" s="12" t="n">
        <v>4.148</v>
      </c>
      <c r="I230" s="12" t="n">
        <v>8</v>
      </c>
      <c r="J230" s="12" t="n">
        <v>307</v>
      </c>
      <c r="K230" s="12" t="n">
        <v>17.4</v>
      </c>
      <c r="L230" s="12" t="n">
        <v>388.45</v>
      </c>
      <c r="M230" s="12" t="n">
        <v>9.54</v>
      </c>
      <c r="N230" s="12" t="n">
        <v>25.1</v>
      </c>
    </row>
    <row r="231" customFormat="false" ht="15" hidden="false" customHeight="false" outlineLevel="0" collapsed="false">
      <c r="A231" s="14" t="n">
        <v>0.51183</v>
      </c>
      <c r="B231" s="14" t="n">
        <v>0</v>
      </c>
      <c r="C231" s="14" t="n">
        <v>6.2</v>
      </c>
      <c r="D231" s="15" t="n">
        <v>0</v>
      </c>
      <c r="E231" s="14" t="n">
        <v>0.507</v>
      </c>
      <c r="F231" s="14" t="n">
        <v>7.358</v>
      </c>
      <c r="G231" s="14" t="n">
        <v>71.6</v>
      </c>
      <c r="H231" s="14" t="n">
        <v>4.148</v>
      </c>
      <c r="I231" s="14" t="n">
        <v>8</v>
      </c>
      <c r="J231" s="14" t="n">
        <v>307</v>
      </c>
      <c r="K231" s="14" t="n">
        <v>17.4</v>
      </c>
      <c r="L231" s="14" t="n">
        <v>390.07</v>
      </c>
      <c r="M231" s="14" t="n">
        <v>4.73</v>
      </c>
      <c r="N231" s="14" t="n">
        <v>31.5</v>
      </c>
    </row>
    <row r="232" customFormat="false" ht="15" hidden="false" customHeight="false" outlineLevel="0" collapsed="false">
      <c r="A232" s="12" t="n">
        <v>0.08244</v>
      </c>
      <c r="B232" s="12" t="n">
        <v>30</v>
      </c>
      <c r="C232" s="12" t="n">
        <v>4.93</v>
      </c>
      <c r="D232" s="13" t="n">
        <v>0</v>
      </c>
      <c r="E232" s="12" t="n">
        <v>0.428</v>
      </c>
      <c r="F232" s="12" t="n">
        <v>6.481</v>
      </c>
      <c r="G232" s="12" t="n">
        <v>18.5</v>
      </c>
      <c r="H232" s="12" t="n">
        <v>6.1899</v>
      </c>
      <c r="I232" s="12" t="n">
        <v>6</v>
      </c>
      <c r="J232" s="12" t="n">
        <v>300</v>
      </c>
      <c r="K232" s="12" t="n">
        <v>16.6</v>
      </c>
      <c r="L232" s="12" t="n">
        <v>379.41</v>
      </c>
      <c r="M232" s="12" t="n">
        <v>6.36</v>
      </c>
      <c r="N232" s="12" t="n">
        <v>23.7</v>
      </c>
    </row>
    <row r="233" customFormat="false" ht="15" hidden="false" customHeight="false" outlineLevel="0" collapsed="false">
      <c r="A233" s="14" t="n">
        <v>0.09252</v>
      </c>
      <c r="B233" s="14" t="n">
        <v>30</v>
      </c>
      <c r="C233" s="14" t="n">
        <v>4.93</v>
      </c>
      <c r="D233" s="15" t="n">
        <v>0</v>
      </c>
      <c r="E233" s="14" t="n">
        <v>0.428</v>
      </c>
      <c r="F233" s="14" t="n">
        <v>6.606</v>
      </c>
      <c r="G233" s="14" t="n">
        <v>42.2</v>
      </c>
      <c r="H233" s="14" t="n">
        <v>6.1899</v>
      </c>
      <c r="I233" s="14" t="n">
        <v>6</v>
      </c>
      <c r="J233" s="14" t="n">
        <v>300</v>
      </c>
      <c r="K233" s="14" t="n">
        <v>16.6</v>
      </c>
      <c r="L233" s="14" t="n">
        <v>383.78</v>
      </c>
      <c r="M233" s="14" t="n">
        <v>7.37</v>
      </c>
      <c r="N233" s="14" t="n">
        <v>23.3</v>
      </c>
    </row>
    <row r="234" customFormat="false" ht="15" hidden="false" customHeight="false" outlineLevel="0" collapsed="false">
      <c r="A234" s="12" t="n">
        <v>0.11329</v>
      </c>
      <c r="B234" s="12" t="n">
        <v>30</v>
      </c>
      <c r="C234" s="12" t="n">
        <v>4.93</v>
      </c>
      <c r="D234" s="13" t="n">
        <v>0</v>
      </c>
      <c r="E234" s="12" t="n">
        <v>0.428</v>
      </c>
      <c r="F234" s="12" t="n">
        <v>6.897</v>
      </c>
      <c r="G234" s="12" t="n">
        <v>54.3</v>
      </c>
      <c r="H234" s="12" t="n">
        <v>6.3361</v>
      </c>
      <c r="I234" s="12" t="n">
        <v>6</v>
      </c>
      <c r="J234" s="12" t="n">
        <v>300</v>
      </c>
      <c r="K234" s="12" t="n">
        <v>16.6</v>
      </c>
      <c r="L234" s="12" t="n">
        <v>391.25</v>
      </c>
      <c r="M234" s="12" t="n">
        <v>11.38</v>
      </c>
      <c r="N234" s="12" t="n">
        <v>22</v>
      </c>
    </row>
    <row r="235" customFormat="false" ht="15" hidden="false" customHeight="false" outlineLevel="0" collapsed="false">
      <c r="A235" s="14" t="n">
        <v>0.10612</v>
      </c>
      <c r="B235" s="14" t="n">
        <v>30</v>
      </c>
      <c r="C235" s="14" t="n">
        <v>4.93</v>
      </c>
      <c r="D235" s="15" t="n">
        <v>0</v>
      </c>
      <c r="E235" s="14" t="n">
        <v>0.428</v>
      </c>
      <c r="F235" s="14" t="n">
        <v>6.095</v>
      </c>
      <c r="G235" s="14" t="n">
        <v>65.1</v>
      </c>
      <c r="H235" s="14" t="n">
        <v>6.3361</v>
      </c>
      <c r="I235" s="14" t="n">
        <v>6</v>
      </c>
      <c r="J235" s="14" t="n">
        <v>300</v>
      </c>
      <c r="K235" s="14" t="n">
        <v>16.6</v>
      </c>
      <c r="L235" s="14" t="n">
        <v>394.62</v>
      </c>
      <c r="M235" s="14" t="n">
        <v>12.4</v>
      </c>
      <c r="N235" s="14" t="n">
        <v>20.1</v>
      </c>
    </row>
    <row r="236" customFormat="false" ht="15" hidden="false" customHeight="false" outlineLevel="0" collapsed="false">
      <c r="A236" s="12" t="n">
        <v>0.1029</v>
      </c>
      <c r="B236" s="12" t="n">
        <v>30</v>
      </c>
      <c r="C236" s="12" t="n">
        <v>4.93</v>
      </c>
      <c r="D236" s="13" t="n">
        <v>0</v>
      </c>
      <c r="E236" s="12" t="n">
        <v>0.428</v>
      </c>
      <c r="F236" s="12" t="n">
        <v>6.358</v>
      </c>
      <c r="G236" s="12" t="n">
        <v>52.9</v>
      </c>
      <c r="H236" s="12" t="n">
        <v>7.0355</v>
      </c>
      <c r="I236" s="12" t="n">
        <v>6</v>
      </c>
      <c r="J236" s="12" t="n">
        <v>300</v>
      </c>
      <c r="K236" s="12" t="n">
        <v>16.6</v>
      </c>
      <c r="L236" s="12" t="n">
        <v>372.75</v>
      </c>
      <c r="M236" s="12" t="n">
        <v>11.22</v>
      </c>
      <c r="N236" s="12" t="n">
        <v>22.2</v>
      </c>
    </row>
    <row r="237" customFormat="false" ht="15" hidden="false" customHeight="false" outlineLevel="0" collapsed="false">
      <c r="A237" s="14" t="n">
        <v>0.12757</v>
      </c>
      <c r="B237" s="14" t="n">
        <v>30</v>
      </c>
      <c r="C237" s="14" t="n">
        <v>4.93</v>
      </c>
      <c r="D237" s="15" t="n">
        <v>0</v>
      </c>
      <c r="E237" s="14" t="n">
        <v>0.428</v>
      </c>
      <c r="F237" s="14" t="n">
        <v>6.393</v>
      </c>
      <c r="G237" s="14" t="n">
        <v>7.8</v>
      </c>
      <c r="H237" s="14" t="n">
        <v>7.0355</v>
      </c>
      <c r="I237" s="14" t="n">
        <v>6</v>
      </c>
      <c r="J237" s="14" t="n">
        <v>300</v>
      </c>
      <c r="K237" s="14" t="n">
        <v>16.6</v>
      </c>
      <c r="L237" s="14" t="n">
        <v>374.71</v>
      </c>
      <c r="M237" s="14" t="n">
        <v>5.19</v>
      </c>
      <c r="N237" s="14" t="n">
        <v>23.7</v>
      </c>
    </row>
    <row r="238" customFormat="false" ht="15" hidden="false" customHeight="false" outlineLevel="0" collapsed="false">
      <c r="A238" s="12" t="n">
        <v>0.20608</v>
      </c>
      <c r="B238" s="12" t="n">
        <v>22</v>
      </c>
      <c r="C238" s="12" t="n">
        <v>5.86</v>
      </c>
      <c r="D238" s="13" t="n">
        <v>0</v>
      </c>
      <c r="E238" s="12" t="n">
        <v>0.431</v>
      </c>
      <c r="F238" s="12" t="n">
        <v>5.593</v>
      </c>
      <c r="G238" s="12" t="n">
        <v>76.5</v>
      </c>
      <c r="H238" s="12" t="n">
        <v>7.9549</v>
      </c>
      <c r="I238" s="12" t="n">
        <v>7</v>
      </c>
      <c r="J238" s="12" t="n">
        <v>330</v>
      </c>
      <c r="K238" s="12" t="n">
        <v>19.1</v>
      </c>
      <c r="L238" s="12" t="n">
        <v>372.49</v>
      </c>
      <c r="M238" s="12" t="n">
        <v>12.5</v>
      </c>
      <c r="N238" s="12" t="n">
        <v>17.6</v>
      </c>
    </row>
    <row r="239" customFormat="false" ht="15" hidden="false" customHeight="false" outlineLevel="0" collapsed="false">
      <c r="A239" s="14" t="n">
        <v>0.19133</v>
      </c>
      <c r="B239" s="14" t="n">
        <v>22</v>
      </c>
      <c r="C239" s="14" t="n">
        <v>5.86</v>
      </c>
      <c r="D239" s="15" t="n">
        <v>0</v>
      </c>
      <c r="E239" s="14" t="n">
        <v>0.431</v>
      </c>
      <c r="F239" s="14" t="n">
        <v>5.605</v>
      </c>
      <c r="G239" s="14" t="n">
        <v>70.2</v>
      </c>
      <c r="H239" s="14" t="n">
        <v>7.9549</v>
      </c>
      <c r="I239" s="14" t="n">
        <v>7</v>
      </c>
      <c r="J239" s="14" t="n">
        <v>330</v>
      </c>
      <c r="K239" s="14" t="n">
        <v>19.1</v>
      </c>
      <c r="L239" s="14" t="n">
        <v>389.13</v>
      </c>
      <c r="M239" s="14" t="n">
        <v>18.46</v>
      </c>
      <c r="N239" s="14" t="n">
        <v>18.5</v>
      </c>
    </row>
    <row r="240" customFormat="false" ht="15" hidden="false" customHeight="false" outlineLevel="0" collapsed="false">
      <c r="A240" s="12" t="n">
        <v>0.33983</v>
      </c>
      <c r="B240" s="12" t="n">
        <v>22</v>
      </c>
      <c r="C240" s="12" t="n">
        <v>5.86</v>
      </c>
      <c r="D240" s="13" t="n">
        <v>0</v>
      </c>
      <c r="E240" s="12" t="n">
        <v>0.431</v>
      </c>
      <c r="F240" s="12" t="n">
        <v>6.108</v>
      </c>
      <c r="G240" s="12" t="n">
        <v>34.9</v>
      </c>
      <c r="H240" s="12" t="n">
        <v>8.0555</v>
      </c>
      <c r="I240" s="12" t="n">
        <v>7</v>
      </c>
      <c r="J240" s="12" t="n">
        <v>330</v>
      </c>
      <c r="K240" s="12" t="n">
        <v>19.1</v>
      </c>
      <c r="L240" s="12" t="n">
        <v>390.18</v>
      </c>
      <c r="M240" s="12" t="n">
        <v>9.16</v>
      </c>
      <c r="N240" s="12" t="n">
        <v>24.3</v>
      </c>
    </row>
    <row r="241" customFormat="false" ht="15" hidden="false" customHeight="false" outlineLevel="0" collapsed="false">
      <c r="A241" s="14" t="n">
        <v>0.19657</v>
      </c>
      <c r="B241" s="14" t="n">
        <v>22</v>
      </c>
      <c r="C241" s="14" t="n">
        <v>5.86</v>
      </c>
      <c r="D241" s="15" t="n">
        <v>0</v>
      </c>
      <c r="E241" s="14" t="n">
        <v>0.431</v>
      </c>
      <c r="F241" s="14" t="n">
        <v>6.226</v>
      </c>
      <c r="G241" s="14" t="n">
        <v>79.2</v>
      </c>
      <c r="H241" s="14" t="n">
        <v>8.0555</v>
      </c>
      <c r="I241" s="14" t="n">
        <v>7</v>
      </c>
      <c r="J241" s="14" t="n">
        <v>330</v>
      </c>
      <c r="K241" s="14" t="n">
        <v>19.1</v>
      </c>
      <c r="L241" s="14" t="n">
        <v>376.14</v>
      </c>
      <c r="M241" s="14" t="n">
        <v>10.15</v>
      </c>
      <c r="N241" s="14" t="n">
        <v>20.5</v>
      </c>
    </row>
    <row r="242" customFormat="false" ht="15" hidden="false" customHeight="false" outlineLevel="0" collapsed="false">
      <c r="A242" s="12" t="n">
        <v>0.16439</v>
      </c>
      <c r="B242" s="12" t="n">
        <v>22</v>
      </c>
      <c r="C242" s="12" t="n">
        <v>5.86</v>
      </c>
      <c r="D242" s="13" t="n">
        <v>0</v>
      </c>
      <c r="E242" s="12" t="n">
        <v>0.431</v>
      </c>
      <c r="F242" s="12" t="n">
        <v>6.433</v>
      </c>
      <c r="G242" s="12" t="n">
        <v>49.1</v>
      </c>
      <c r="H242" s="12" t="n">
        <v>7.8265</v>
      </c>
      <c r="I242" s="12" t="n">
        <v>7</v>
      </c>
      <c r="J242" s="12" t="n">
        <v>330</v>
      </c>
      <c r="K242" s="12" t="n">
        <v>19.1</v>
      </c>
      <c r="L242" s="12" t="n">
        <v>374.71</v>
      </c>
      <c r="M242" s="12" t="n">
        <v>9.52</v>
      </c>
      <c r="N242" s="12" t="n">
        <v>24.5</v>
      </c>
    </row>
    <row r="243" customFormat="false" ht="15" hidden="false" customHeight="false" outlineLevel="0" collapsed="false">
      <c r="A243" s="14" t="n">
        <v>0.19073</v>
      </c>
      <c r="B243" s="14" t="n">
        <v>22</v>
      </c>
      <c r="C243" s="14" t="n">
        <v>5.86</v>
      </c>
      <c r="D243" s="15" t="n">
        <v>0</v>
      </c>
      <c r="E243" s="14" t="n">
        <v>0.431</v>
      </c>
      <c r="F243" s="14" t="n">
        <v>6.718</v>
      </c>
      <c r="G243" s="14" t="n">
        <v>17.5</v>
      </c>
      <c r="H243" s="14" t="n">
        <v>7.8265</v>
      </c>
      <c r="I243" s="14" t="n">
        <v>7</v>
      </c>
      <c r="J243" s="14" t="n">
        <v>330</v>
      </c>
      <c r="K243" s="14" t="n">
        <v>19.1</v>
      </c>
      <c r="L243" s="14" t="n">
        <v>393.74</v>
      </c>
      <c r="M243" s="14" t="n">
        <v>6.56</v>
      </c>
      <c r="N243" s="14" t="n">
        <v>26.2</v>
      </c>
    </row>
    <row r="244" customFormat="false" ht="15" hidden="false" customHeight="false" outlineLevel="0" collapsed="false">
      <c r="A244" s="12" t="n">
        <v>0.1403</v>
      </c>
      <c r="B244" s="12" t="n">
        <v>22</v>
      </c>
      <c r="C244" s="12" t="n">
        <v>5.86</v>
      </c>
      <c r="D244" s="13" t="n">
        <v>0</v>
      </c>
      <c r="E244" s="12" t="n">
        <v>0.431</v>
      </c>
      <c r="F244" s="12" t="n">
        <v>6.487</v>
      </c>
      <c r="G244" s="12" t="n">
        <v>13</v>
      </c>
      <c r="H244" s="12" t="n">
        <v>7.3967</v>
      </c>
      <c r="I244" s="12" t="n">
        <v>7</v>
      </c>
      <c r="J244" s="12" t="n">
        <v>330</v>
      </c>
      <c r="K244" s="12" t="n">
        <v>19.1</v>
      </c>
      <c r="L244" s="12" t="n">
        <v>396.28</v>
      </c>
      <c r="M244" s="12" t="n">
        <v>5.9</v>
      </c>
      <c r="N244" s="12" t="n">
        <v>24.4</v>
      </c>
    </row>
    <row r="245" customFormat="false" ht="15" hidden="false" customHeight="false" outlineLevel="0" collapsed="false">
      <c r="A245" s="14" t="n">
        <v>0.21409</v>
      </c>
      <c r="B245" s="14" t="n">
        <v>22</v>
      </c>
      <c r="C245" s="14" t="n">
        <v>5.86</v>
      </c>
      <c r="D245" s="15" t="n">
        <v>0</v>
      </c>
      <c r="E245" s="14" t="n">
        <v>0.431</v>
      </c>
      <c r="F245" s="14" t="n">
        <v>6.438</v>
      </c>
      <c r="G245" s="14" t="n">
        <v>8.9</v>
      </c>
      <c r="H245" s="14" t="n">
        <v>7.3967</v>
      </c>
      <c r="I245" s="14" t="n">
        <v>7</v>
      </c>
      <c r="J245" s="14" t="n">
        <v>330</v>
      </c>
      <c r="K245" s="14" t="n">
        <v>19.1</v>
      </c>
      <c r="L245" s="14" t="n">
        <v>377.07</v>
      </c>
      <c r="M245" s="14" t="n">
        <v>3.59</v>
      </c>
      <c r="N245" s="14" t="n">
        <v>24.8</v>
      </c>
    </row>
    <row r="246" customFormat="false" ht="15" hidden="false" customHeight="false" outlineLevel="0" collapsed="false">
      <c r="A246" s="12" t="n">
        <v>0.08221</v>
      </c>
      <c r="B246" s="12" t="n">
        <v>22</v>
      </c>
      <c r="C246" s="12" t="n">
        <v>5.86</v>
      </c>
      <c r="D246" s="13" t="n">
        <v>0</v>
      </c>
      <c r="E246" s="12" t="n">
        <v>0.431</v>
      </c>
      <c r="F246" s="12" t="n">
        <v>6.957</v>
      </c>
      <c r="G246" s="12" t="n">
        <v>6.8</v>
      </c>
      <c r="H246" s="12" t="n">
        <v>8.9067</v>
      </c>
      <c r="I246" s="12" t="n">
        <v>7</v>
      </c>
      <c r="J246" s="12" t="n">
        <v>330</v>
      </c>
      <c r="K246" s="12" t="n">
        <v>19.1</v>
      </c>
      <c r="L246" s="12" t="n">
        <v>386.09</v>
      </c>
      <c r="M246" s="12" t="n">
        <v>3.53</v>
      </c>
      <c r="N246" s="12" t="n">
        <v>29.6</v>
      </c>
    </row>
    <row r="247" customFormat="false" ht="15" hidden="false" customHeight="false" outlineLevel="0" collapsed="false">
      <c r="A247" s="14" t="n">
        <v>0.36894</v>
      </c>
      <c r="B247" s="14" t="n">
        <v>22</v>
      </c>
      <c r="C247" s="14" t="n">
        <v>5.86</v>
      </c>
      <c r="D247" s="15" t="n">
        <v>0</v>
      </c>
      <c r="E247" s="14" t="n">
        <v>0.431</v>
      </c>
      <c r="F247" s="14" t="n">
        <v>8.259</v>
      </c>
      <c r="G247" s="14" t="n">
        <v>8.4</v>
      </c>
      <c r="H247" s="14" t="n">
        <v>8.9067</v>
      </c>
      <c r="I247" s="14" t="n">
        <v>7</v>
      </c>
      <c r="J247" s="14" t="n">
        <v>330</v>
      </c>
      <c r="K247" s="14" t="n">
        <v>19.1</v>
      </c>
      <c r="L247" s="14" t="n">
        <v>396.9</v>
      </c>
      <c r="M247" s="14" t="n">
        <v>3.54</v>
      </c>
      <c r="N247" s="14" t="n">
        <v>42.8</v>
      </c>
    </row>
    <row r="248" customFormat="false" ht="15" hidden="false" customHeight="false" outlineLevel="0" collapsed="false">
      <c r="A248" s="12" t="n">
        <v>0.04819</v>
      </c>
      <c r="B248" s="12" t="n">
        <v>80</v>
      </c>
      <c r="C248" s="12" t="n">
        <v>3.64</v>
      </c>
      <c r="D248" s="13" t="n">
        <v>0</v>
      </c>
      <c r="E248" s="12" t="n">
        <v>0.392</v>
      </c>
      <c r="F248" s="12" t="n">
        <v>6.108</v>
      </c>
      <c r="G248" s="12" t="n">
        <v>32</v>
      </c>
      <c r="H248" s="12" t="n">
        <v>9.2203</v>
      </c>
      <c r="I248" s="12" t="n">
        <v>1</v>
      </c>
      <c r="J248" s="12" t="n">
        <v>315</v>
      </c>
      <c r="K248" s="12" t="n">
        <v>16.4</v>
      </c>
      <c r="L248" s="12" t="n">
        <v>392.89</v>
      </c>
      <c r="M248" s="12" t="n">
        <v>6.57</v>
      </c>
      <c r="N248" s="12" t="n">
        <v>21.9</v>
      </c>
    </row>
    <row r="249" customFormat="false" ht="15" hidden="false" customHeight="false" outlineLevel="0" collapsed="false">
      <c r="A249" s="14" t="n">
        <v>0.03548</v>
      </c>
      <c r="B249" s="14" t="n">
        <v>80</v>
      </c>
      <c r="C249" s="14" t="n">
        <v>3.64</v>
      </c>
      <c r="D249" s="15" t="n">
        <v>0</v>
      </c>
      <c r="E249" s="14" t="n">
        <v>0.392</v>
      </c>
      <c r="F249" s="14" t="n">
        <v>5.876</v>
      </c>
      <c r="G249" s="14" t="n">
        <v>19.1</v>
      </c>
      <c r="H249" s="14" t="n">
        <v>9.2203</v>
      </c>
      <c r="I249" s="14" t="n">
        <v>1</v>
      </c>
      <c r="J249" s="14" t="n">
        <v>315</v>
      </c>
      <c r="K249" s="14" t="n">
        <v>16.4</v>
      </c>
      <c r="L249" s="14" t="n">
        <v>395.18</v>
      </c>
      <c r="M249" s="14" t="n">
        <v>9.25</v>
      </c>
      <c r="N249" s="14" t="n">
        <v>20.9</v>
      </c>
    </row>
    <row r="250" customFormat="false" ht="15" hidden="false" customHeight="false" outlineLevel="0" collapsed="false">
      <c r="A250" s="12" t="n">
        <v>0.01538</v>
      </c>
      <c r="B250" s="12" t="n">
        <v>90</v>
      </c>
      <c r="C250" s="12" t="n">
        <v>3.75</v>
      </c>
      <c r="D250" s="13" t="n">
        <v>0</v>
      </c>
      <c r="E250" s="12" t="n">
        <v>0.394</v>
      </c>
      <c r="F250" s="12" t="n">
        <v>7.454</v>
      </c>
      <c r="G250" s="12" t="n">
        <v>34.2</v>
      </c>
      <c r="H250" s="12" t="n">
        <v>6.3361</v>
      </c>
      <c r="I250" s="12" t="n">
        <v>3</v>
      </c>
      <c r="J250" s="12" t="n">
        <v>244</v>
      </c>
      <c r="K250" s="12" t="n">
        <v>15.9</v>
      </c>
      <c r="L250" s="12" t="n">
        <v>386.34</v>
      </c>
      <c r="M250" s="12" t="n">
        <v>3.11</v>
      </c>
      <c r="N250" s="12" t="n">
        <v>44</v>
      </c>
    </row>
    <row r="251" customFormat="false" ht="15" hidden="false" customHeight="false" outlineLevel="0" collapsed="false">
      <c r="A251" s="14" t="n">
        <v>0.66351</v>
      </c>
      <c r="B251" s="14" t="n">
        <v>20</v>
      </c>
      <c r="C251" s="14" t="n">
        <v>3.97</v>
      </c>
      <c r="D251" s="15" t="n">
        <v>0</v>
      </c>
      <c r="E251" s="14" t="n">
        <v>0.647</v>
      </c>
      <c r="F251" s="14" t="n">
        <v>7.333</v>
      </c>
      <c r="G251" s="14" t="n">
        <v>100</v>
      </c>
      <c r="H251" s="14" t="n">
        <v>1.8946</v>
      </c>
      <c r="I251" s="14" t="n">
        <v>5</v>
      </c>
      <c r="J251" s="14" t="n">
        <v>264</v>
      </c>
      <c r="K251" s="14" t="n">
        <v>13</v>
      </c>
      <c r="L251" s="14" t="n">
        <v>383.29</v>
      </c>
      <c r="M251" s="14" t="n">
        <v>7.79</v>
      </c>
      <c r="N251" s="14" t="n">
        <v>36</v>
      </c>
    </row>
    <row r="252" customFormat="false" ht="15" hidden="false" customHeight="false" outlineLevel="0" collapsed="false">
      <c r="A252" s="12" t="n">
        <v>0.65665</v>
      </c>
      <c r="B252" s="12" t="n">
        <v>20</v>
      </c>
      <c r="C252" s="12" t="n">
        <v>3.97</v>
      </c>
      <c r="D252" s="13" t="n">
        <v>0</v>
      </c>
      <c r="E252" s="12" t="n">
        <v>0.647</v>
      </c>
      <c r="F252" s="12" t="n">
        <v>6.842</v>
      </c>
      <c r="G252" s="12" t="n">
        <v>100</v>
      </c>
      <c r="H252" s="12" t="n">
        <v>2.0107</v>
      </c>
      <c r="I252" s="12" t="n">
        <v>5</v>
      </c>
      <c r="J252" s="12" t="n">
        <v>264</v>
      </c>
      <c r="K252" s="12" t="n">
        <v>13</v>
      </c>
      <c r="L252" s="12" t="n">
        <v>391.93</v>
      </c>
      <c r="M252" s="12" t="n">
        <v>6.9</v>
      </c>
      <c r="N252" s="12" t="n">
        <v>30.1</v>
      </c>
    </row>
    <row r="253" customFormat="false" ht="15" hidden="false" customHeight="false" outlineLevel="0" collapsed="false">
      <c r="A253" s="14" t="n">
        <v>0.54011</v>
      </c>
      <c r="B253" s="14" t="n">
        <v>20</v>
      </c>
      <c r="C253" s="14" t="n">
        <v>3.97</v>
      </c>
      <c r="D253" s="15" t="n">
        <v>0</v>
      </c>
      <c r="E253" s="14" t="n">
        <v>0.647</v>
      </c>
      <c r="F253" s="14" t="n">
        <v>7.203</v>
      </c>
      <c r="G253" s="14" t="n">
        <v>81.8</v>
      </c>
      <c r="H253" s="14" t="n">
        <v>2.1121</v>
      </c>
      <c r="I253" s="14" t="n">
        <v>5</v>
      </c>
      <c r="J253" s="14" t="n">
        <v>264</v>
      </c>
      <c r="K253" s="14" t="n">
        <v>13</v>
      </c>
      <c r="L253" s="14" t="n">
        <v>392.8</v>
      </c>
      <c r="M253" s="14" t="n">
        <v>9.59</v>
      </c>
      <c r="N253" s="14" t="n">
        <v>33.8</v>
      </c>
    </row>
    <row r="254" customFormat="false" ht="15" hidden="false" customHeight="false" outlineLevel="0" collapsed="false">
      <c r="A254" s="12" t="n">
        <v>0.53412</v>
      </c>
      <c r="B254" s="12" t="n">
        <v>20</v>
      </c>
      <c r="C254" s="12" t="n">
        <v>3.97</v>
      </c>
      <c r="D254" s="13" t="n">
        <v>0</v>
      </c>
      <c r="E254" s="12" t="n">
        <v>0.647</v>
      </c>
      <c r="F254" s="12" t="n">
        <v>7.52</v>
      </c>
      <c r="G254" s="12" t="n">
        <v>89.4</v>
      </c>
      <c r="H254" s="12" t="n">
        <v>2.1398</v>
      </c>
      <c r="I254" s="12" t="n">
        <v>5</v>
      </c>
      <c r="J254" s="12" t="n">
        <v>264</v>
      </c>
      <c r="K254" s="12" t="n">
        <v>13</v>
      </c>
      <c r="L254" s="12" t="n">
        <v>388.37</v>
      </c>
      <c r="M254" s="12" t="n">
        <v>7.26</v>
      </c>
      <c r="N254" s="12" t="n">
        <v>43.1</v>
      </c>
    </row>
    <row r="255" customFormat="false" ht="15" hidden="false" customHeight="false" outlineLevel="0" collapsed="false">
      <c r="A255" s="14" t="n">
        <v>0.52014</v>
      </c>
      <c r="B255" s="14" t="n">
        <v>20</v>
      </c>
      <c r="C255" s="14" t="n">
        <v>3.97</v>
      </c>
      <c r="D255" s="15" t="n">
        <v>0</v>
      </c>
      <c r="E255" s="14" t="n">
        <v>0.647</v>
      </c>
      <c r="F255" s="14" t="n">
        <v>8.398</v>
      </c>
      <c r="G255" s="14" t="n">
        <v>91.5</v>
      </c>
      <c r="H255" s="14" t="n">
        <v>2.2885</v>
      </c>
      <c r="I255" s="14" t="n">
        <v>5</v>
      </c>
      <c r="J255" s="14" t="n">
        <v>264</v>
      </c>
      <c r="K255" s="14" t="n">
        <v>13</v>
      </c>
      <c r="L255" s="14" t="n">
        <v>386.86</v>
      </c>
      <c r="M255" s="14" t="n">
        <v>5.91</v>
      </c>
      <c r="N255" s="14" t="n">
        <v>48.8</v>
      </c>
    </row>
    <row r="256" customFormat="false" ht="15" hidden="false" customHeight="false" outlineLevel="0" collapsed="false">
      <c r="A256" s="12" t="n">
        <v>0.82526</v>
      </c>
      <c r="B256" s="12" t="n">
        <v>20</v>
      </c>
      <c r="C256" s="12" t="n">
        <v>3.97</v>
      </c>
      <c r="D256" s="13" t="n">
        <v>0</v>
      </c>
      <c r="E256" s="12" t="n">
        <v>0.647</v>
      </c>
      <c r="F256" s="12" t="n">
        <v>7.327</v>
      </c>
      <c r="G256" s="12" t="n">
        <v>94.5</v>
      </c>
      <c r="H256" s="12" t="n">
        <v>2.0788</v>
      </c>
      <c r="I256" s="12" t="n">
        <v>5</v>
      </c>
      <c r="J256" s="12" t="n">
        <v>264</v>
      </c>
      <c r="K256" s="12" t="n">
        <v>13</v>
      </c>
      <c r="L256" s="12" t="n">
        <v>393.42</v>
      </c>
      <c r="M256" s="12" t="n">
        <v>11.25</v>
      </c>
      <c r="N256" s="12" t="n">
        <v>31</v>
      </c>
    </row>
    <row r="257" customFormat="false" ht="15" hidden="false" customHeight="false" outlineLevel="0" collapsed="false">
      <c r="A257" s="14" t="n">
        <v>0.55007</v>
      </c>
      <c r="B257" s="14" t="n">
        <v>20</v>
      </c>
      <c r="C257" s="14" t="n">
        <v>3.97</v>
      </c>
      <c r="D257" s="15" t="n">
        <v>0</v>
      </c>
      <c r="E257" s="14" t="n">
        <v>0.647</v>
      </c>
      <c r="F257" s="14" t="n">
        <v>7.206</v>
      </c>
      <c r="G257" s="14" t="n">
        <v>91.6</v>
      </c>
      <c r="H257" s="14" t="n">
        <v>1.9301</v>
      </c>
      <c r="I257" s="14" t="n">
        <v>5</v>
      </c>
      <c r="J257" s="14" t="n">
        <v>264</v>
      </c>
      <c r="K257" s="14" t="n">
        <v>13</v>
      </c>
      <c r="L257" s="14" t="n">
        <v>387.89</v>
      </c>
      <c r="M257" s="14" t="n">
        <v>8.1</v>
      </c>
      <c r="N257" s="14" t="n">
        <v>36.5</v>
      </c>
    </row>
    <row r="258" customFormat="false" ht="15" hidden="false" customHeight="false" outlineLevel="0" collapsed="false">
      <c r="A258" s="12" t="n">
        <v>0.76162</v>
      </c>
      <c r="B258" s="12" t="n">
        <v>20</v>
      </c>
      <c r="C258" s="12" t="n">
        <v>3.97</v>
      </c>
      <c r="D258" s="13" t="n">
        <v>0</v>
      </c>
      <c r="E258" s="12" t="n">
        <v>0.647</v>
      </c>
      <c r="F258" s="12" t="n">
        <v>5.56</v>
      </c>
      <c r="G258" s="12" t="n">
        <v>62.8</v>
      </c>
      <c r="H258" s="12" t="n">
        <v>1.9865</v>
      </c>
      <c r="I258" s="12" t="n">
        <v>5</v>
      </c>
      <c r="J258" s="12" t="n">
        <v>264</v>
      </c>
      <c r="K258" s="12" t="n">
        <v>13</v>
      </c>
      <c r="L258" s="12" t="n">
        <v>392.4</v>
      </c>
      <c r="M258" s="12" t="n">
        <v>10.45</v>
      </c>
      <c r="N258" s="12" t="n">
        <v>22.8</v>
      </c>
    </row>
    <row r="259" customFormat="false" ht="15" hidden="false" customHeight="false" outlineLevel="0" collapsed="false">
      <c r="A259" s="14" t="n">
        <v>0.7857</v>
      </c>
      <c r="B259" s="14" t="n">
        <v>20</v>
      </c>
      <c r="C259" s="14" t="n">
        <v>3.97</v>
      </c>
      <c r="D259" s="15" t="n">
        <v>0</v>
      </c>
      <c r="E259" s="14" t="n">
        <v>0.647</v>
      </c>
      <c r="F259" s="14" t="n">
        <v>7.014</v>
      </c>
      <c r="G259" s="14" t="n">
        <v>84.6</v>
      </c>
      <c r="H259" s="14" t="n">
        <v>2.1329</v>
      </c>
      <c r="I259" s="14" t="n">
        <v>5</v>
      </c>
      <c r="J259" s="14" t="n">
        <v>264</v>
      </c>
      <c r="K259" s="14" t="n">
        <v>13</v>
      </c>
      <c r="L259" s="14" t="n">
        <v>384.07</v>
      </c>
      <c r="M259" s="14" t="n">
        <v>14.79</v>
      </c>
      <c r="N259" s="14" t="n">
        <v>30.7</v>
      </c>
    </row>
    <row r="260" customFormat="false" ht="15" hidden="false" customHeight="false" outlineLevel="0" collapsed="false">
      <c r="A260" s="12" t="n">
        <v>0.5405</v>
      </c>
      <c r="B260" s="12" t="n">
        <v>20</v>
      </c>
      <c r="C260" s="12" t="n">
        <v>3.97</v>
      </c>
      <c r="D260" s="13" t="n">
        <v>0</v>
      </c>
      <c r="E260" s="12" t="n">
        <v>0.575</v>
      </c>
      <c r="F260" s="12" t="n">
        <v>7.47</v>
      </c>
      <c r="G260" s="12" t="n">
        <v>52.6</v>
      </c>
      <c r="H260" s="12" t="n">
        <v>2.872</v>
      </c>
      <c r="I260" s="12" t="n">
        <v>5</v>
      </c>
      <c r="J260" s="12" t="n">
        <v>264</v>
      </c>
      <c r="K260" s="12" t="n">
        <v>13</v>
      </c>
      <c r="L260" s="12" t="n">
        <v>390.3</v>
      </c>
      <c r="M260" s="12" t="n">
        <v>3.16</v>
      </c>
      <c r="N260" s="12" t="n">
        <v>43.5</v>
      </c>
    </row>
    <row r="261" customFormat="false" ht="15" hidden="false" customHeight="false" outlineLevel="0" collapsed="false">
      <c r="A261" s="14" t="n">
        <v>0.09065</v>
      </c>
      <c r="B261" s="14" t="n">
        <v>20</v>
      </c>
      <c r="C261" s="14" t="n">
        <v>6.96</v>
      </c>
      <c r="D261" s="15" t="n">
        <v>1</v>
      </c>
      <c r="E261" s="14" t="n">
        <v>0.464</v>
      </c>
      <c r="F261" s="14" t="n">
        <v>5.92</v>
      </c>
      <c r="G261" s="14" t="n">
        <v>61.5</v>
      </c>
      <c r="H261" s="14" t="n">
        <v>3.9175</v>
      </c>
      <c r="I261" s="14" t="n">
        <v>3</v>
      </c>
      <c r="J261" s="14" t="n">
        <v>223</v>
      </c>
      <c r="K261" s="14" t="n">
        <v>18.6</v>
      </c>
      <c r="L261" s="14" t="n">
        <v>391.34</v>
      </c>
      <c r="M261" s="14" t="n">
        <v>13.65</v>
      </c>
      <c r="N261" s="14" t="n">
        <v>20.7</v>
      </c>
    </row>
    <row r="262" customFormat="false" ht="15" hidden="false" customHeight="false" outlineLevel="0" collapsed="false">
      <c r="A262" s="12" t="n">
        <v>0.29916</v>
      </c>
      <c r="B262" s="12" t="n">
        <v>20</v>
      </c>
      <c r="C262" s="12" t="n">
        <v>6.96</v>
      </c>
      <c r="D262" s="13" t="n">
        <v>0</v>
      </c>
      <c r="E262" s="12" t="n">
        <v>0.464</v>
      </c>
      <c r="F262" s="12" t="n">
        <v>5.856</v>
      </c>
      <c r="G262" s="12" t="n">
        <v>42.1</v>
      </c>
      <c r="H262" s="12" t="n">
        <v>4.429</v>
      </c>
      <c r="I262" s="12" t="n">
        <v>3</v>
      </c>
      <c r="J262" s="12" t="n">
        <v>223</v>
      </c>
      <c r="K262" s="12" t="n">
        <v>18.6</v>
      </c>
      <c r="L262" s="12" t="n">
        <v>388.65</v>
      </c>
      <c r="M262" s="12" t="n">
        <v>13</v>
      </c>
      <c r="N262" s="12" t="n">
        <v>21.1</v>
      </c>
    </row>
    <row r="263" customFormat="false" ht="15" hidden="false" customHeight="false" outlineLevel="0" collapsed="false">
      <c r="A263" s="14" t="n">
        <v>0.16211</v>
      </c>
      <c r="B263" s="14" t="n">
        <v>20</v>
      </c>
      <c r="C263" s="14" t="n">
        <v>6.96</v>
      </c>
      <c r="D263" s="15" t="n">
        <v>0</v>
      </c>
      <c r="E263" s="14" t="n">
        <v>0.464</v>
      </c>
      <c r="F263" s="14" t="n">
        <v>6.24</v>
      </c>
      <c r="G263" s="14" t="n">
        <v>16.3</v>
      </c>
      <c r="H263" s="14" t="n">
        <v>4.429</v>
      </c>
      <c r="I263" s="14" t="n">
        <v>3</v>
      </c>
      <c r="J263" s="14" t="n">
        <v>223</v>
      </c>
      <c r="K263" s="14" t="n">
        <v>18.6</v>
      </c>
      <c r="L263" s="14" t="n">
        <v>396.9</v>
      </c>
      <c r="M263" s="14" t="n">
        <v>6.59</v>
      </c>
      <c r="N263" s="14" t="n">
        <v>25.2</v>
      </c>
    </row>
    <row r="264" customFormat="false" ht="15" hidden="false" customHeight="false" outlineLevel="0" collapsed="false">
      <c r="A264" s="12" t="n">
        <v>0.1146</v>
      </c>
      <c r="B264" s="12" t="n">
        <v>20</v>
      </c>
      <c r="C264" s="12" t="n">
        <v>6.96</v>
      </c>
      <c r="D264" s="13" t="n">
        <v>0</v>
      </c>
      <c r="E264" s="12" t="n">
        <v>0.464</v>
      </c>
      <c r="F264" s="12" t="n">
        <v>6.538</v>
      </c>
      <c r="G264" s="12" t="n">
        <v>58.7</v>
      </c>
      <c r="H264" s="12" t="n">
        <v>3.9175</v>
      </c>
      <c r="I264" s="12" t="n">
        <v>3</v>
      </c>
      <c r="J264" s="12" t="n">
        <v>223</v>
      </c>
      <c r="K264" s="12" t="n">
        <v>18.6</v>
      </c>
      <c r="L264" s="12" t="n">
        <v>394.96</v>
      </c>
      <c r="M264" s="12" t="n">
        <v>7.73</v>
      </c>
      <c r="N264" s="12" t="n">
        <v>24.4</v>
      </c>
    </row>
    <row r="265" customFormat="false" ht="15" hidden="false" customHeight="false" outlineLevel="0" collapsed="false">
      <c r="A265" s="14" t="n">
        <v>0.22188</v>
      </c>
      <c r="B265" s="14" t="n">
        <v>20</v>
      </c>
      <c r="C265" s="14" t="n">
        <v>6.96</v>
      </c>
      <c r="D265" s="15" t="n">
        <v>1</v>
      </c>
      <c r="E265" s="14" t="n">
        <v>0.464</v>
      </c>
      <c r="F265" s="14" t="n">
        <v>7.691</v>
      </c>
      <c r="G265" s="14" t="n">
        <v>51.8</v>
      </c>
      <c r="H265" s="14" t="n">
        <v>4.3665</v>
      </c>
      <c r="I265" s="14" t="n">
        <v>3</v>
      </c>
      <c r="J265" s="14" t="n">
        <v>223</v>
      </c>
      <c r="K265" s="14" t="n">
        <v>18.6</v>
      </c>
      <c r="L265" s="14" t="n">
        <v>390.77</v>
      </c>
      <c r="M265" s="14" t="n">
        <v>6.58</v>
      </c>
      <c r="N265" s="14" t="n">
        <v>35.2</v>
      </c>
    </row>
    <row r="266" customFormat="false" ht="15" hidden="false" customHeight="false" outlineLevel="0" collapsed="false">
      <c r="A266" s="12" t="n">
        <v>0.05644</v>
      </c>
      <c r="B266" s="12" t="n">
        <v>40</v>
      </c>
      <c r="C266" s="12" t="n">
        <v>6.41</v>
      </c>
      <c r="D266" s="13" t="n">
        <v>1</v>
      </c>
      <c r="E266" s="12" t="n">
        <v>0.447</v>
      </c>
      <c r="F266" s="12" t="n">
        <v>6.758</v>
      </c>
      <c r="G266" s="12" t="n">
        <v>32.9</v>
      </c>
      <c r="H266" s="12" t="n">
        <v>4.0776</v>
      </c>
      <c r="I266" s="12" t="n">
        <v>4</v>
      </c>
      <c r="J266" s="12" t="n">
        <v>254</v>
      </c>
      <c r="K266" s="12" t="n">
        <v>17.6</v>
      </c>
      <c r="L266" s="12" t="n">
        <v>396.9</v>
      </c>
      <c r="M266" s="12" t="n">
        <v>3.53</v>
      </c>
      <c r="N266" s="12" t="n">
        <v>32.4</v>
      </c>
    </row>
    <row r="267" customFormat="false" ht="15" hidden="false" customHeight="false" outlineLevel="0" collapsed="false">
      <c r="A267" s="14" t="n">
        <v>0.09604</v>
      </c>
      <c r="B267" s="14" t="n">
        <v>40</v>
      </c>
      <c r="C267" s="14" t="n">
        <v>6.41</v>
      </c>
      <c r="D267" s="15" t="n">
        <v>0</v>
      </c>
      <c r="E267" s="14" t="n">
        <v>0.447</v>
      </c>
      <c r="F267" s="14" t="n">
        <v>6.854</v>
      </c>
      <c r="G267" s="14" t="n">
        <v>42.8</v>
      </c>
      <c r="H267" s="14" t="n">
        <v>4.2673</v>
      </c>
      <c r="I267" s="14" t="n">
        <v>4</v>
      </c>
      <c r="J267" s="14" t="n">
        <v>254</v>
      </c>
      <c r="K267" s="14" t="n">
        <v>17.6</v>
      </c>
      <c r="L267" s="14" t="n">
        <v>396.9</v>
      </c>
      <c r="M267" s="14" t="n">
        <v>2.98</v>
      </c>
      <c r="N267" s="14" t="n">
        <v>32</v>
      </c>
    </row>
    <row r="268" customFormat="false" ht="15" hidden="false" customHeight="false" outlineLevel="0" collapsed="false">
      <c r="A268" s="12" t="n">
        <v>0.10469</v>
      </c>
      <c r="B268" s="12" t="n">
        <v>40</v>
      </c>
      <c r="C268" s="12" t="n">
        <v>6.41</v>
      </c>
      <c r="D268" s="13" t="n">
        <v>1</v>
      </c>
      <c r="E268" s="12" t="n">
        <v>0.447</v>
      </c>
      <c r="F268" s="12" t="n">
        <v>7.267</v>
      </c>
      <c r="G268" s="12" t="n">
        <v>49</v>
      </c>
      <c r="H268" s="12" t="n">
        <v>4.7872</v>
      </c>
      <c r="I268" s="12" t="n">
        <v>4</v>
      </c>
      <c r="J268" s="12" t="n">
        <v>254</v>
      </c>
      <c r="K268" s="12" t="n">
        <v>17.6</v>
      </c>
      <c r="L268" s="12" t="n">
        <v>389.25</v>
      </c>
      <c r="M268" s="12" t="n">
        <v>6.05</v>
      </c>
      <c r="N268" s="12" t="n">
        <v>33.2</v>
      </c>
    </row>
    <row r="269" customFormat="false" ht="15" hidden="false" customHeight="false" outlineLevel="0" collapsed="false">
      <c r="A269" s="14" t="n">
        <v>0.06127</v>
      </c>
      <c r="B269" s="14" t="n">
        <v>40</v>
      </c>
      <c r="C269" s="14" t="n">
        <v>6.41</v>
      </c>
      <c r="D269" s="15" t="n">
        <v>1</v>
      </c>
      <c r="E269" s="14" t="n">
        <v>0.447</v>
      </c>
      <c r="F269" s="14" t="n">
        <v>6.826</v>
      </c>
      <c r="G269" s="14" t="n">
        <v>27.6</v>
      </c>
      <c r="H269" s="14" t="n">
        <v>4.8628</v>
      </c>
      <c r="I269" s="14" t="n">
        <v>4</v>
      </c>
      <c r="J269" s="14" t="n">
        <v>254</v>
      </c>
      <c r="K269" s="14" t="n">
        <v>17.6</v>
      </c>
      <c r="L269" s="14" t="n">
        <v>393.45</v>
      </c>
      <c r="M269" s="14" t="n">
        <v>4.16</v>
      </c>
      <c r="N269" s="14" t="n">
        <v>33.1</v>
      </c>
    </row>
    <row r="270" customFormat="false" ht="15" hidden="false" customHeight="false" outlineLevel="0" collapsed="false">
      <c r="A270" s="12" t="n">
        <v>0.07978</v>
      </c>
      <c r="B270" s="12" t="n">
        <v>40</v>
      </c>
      <c r="C270" s="12" t="n">
        <v>6.41</v>
      </c>
      <c r="D270" s="13" t="n">
        <v>0</v>
      </c>
      <c r="E270" s="12" t="n">
        <v>0.447</v>
      </c>
      <c r="F270" s="12" t="n">
        <v>6.482</v>
      </c>
      <c r="G270" s="12" t="n">
        <v>32.1</v>
      </c>
      <c r="H270" s="12" t="n">
        <v>4.1403</v>
      </c>
      <c r="I270" s="12" t="n">
        <v>4</v>
      </c>
      <c r="J270" s="12" t="n">
        <v>254</v>
      </c>
      <c r="K270" s="12" t="n">
        <v>17.6</v>
      </c>
      <c r="L270" s="12" t="n">
        <v>396.9</v>
      </c>
      <c r="M270" s="12" t="n">
        <v>7.19</v>
      </c>
      <c r="N270" s="12" t="n">
        <v>29.1</v>
      </c>
    </row>
    <row r="271" customFormat="false" ht="15" hidden="false" customHeight="false" outlineLevel="0" collapsed="false">
      <c r="A271" s="14" t="n">
        <v>0.21038</v>
      </c>
      <c r="B271" s="14" t="n">
        <v>20</v>
      </c>
      <c r="C271" s="14" t="n">
        <v>3.33</v>
      </c>
      <c r="D271" s="15" t="n">
        <v>0</v>
      </c>
      <c r="E271" s="14" t="n">
        <v>0.4429</v>
      </c>
      <c r="F271" s="14" t="n">
        <v>6.812</v>
      </c>
      <c r="G271" s="14" t="n">
        <v>32.2</v>
      </c>
      <c r="H271" s="14" t="n">
        <v>4.1007</v>
      </c>
      <c r="I271" s="14" t="n">
        <v>5</v>
      </c>
      <c r="J271" s="14" t="n">
        <v>216</v>
      </c>
      <c r="K271" s="14" t="n">
        <v>14.9</v>
      </c>
      <c r="L271" s="14" t="n">
        <v>396.9</v>
      </c>
      <c r="M271" s="14" t="n">
        <v>4.85</v>
      </c>
      <c r="N271" s="14" t="n">
        <v>35.1</v>
      </c>
    </row>
    <row r="272" customFormat="false" ht="15" hidden="false" customHeight="false" outlineLevel="0" collapsed="false">
      <c r="A272" s="12" t="n">
        <v>0.03578</v>
      </c>
      <c r="B272" s="12" t="n">
        <v>20</v>
      </c>
      <c r="C272" s="12" t="n">
        <v>3.33</v>
      </c>
      <c r="D272" s="13" t="n">
        <v>0</v>
      </c>
      <c r="E272" s="12" t="n">
        <v>0.4429</v>
      </c>
      <c r="F272" s="12" t="n">
        <v>7.82</v>
      </c>
      <c r="G272" s="12" t="n">
        <v>64.5</v>
      </c>
      <c r="H272" s="12" t="n">
        <v>4.6947</v>
      </c>
      <c r="I272" s="12" t="n">
        <v>5</v>
      </c>
      <c r="J272" s="12" t="n">
        <v>216</v>
      </c>
      <c r="K272" s="12" t="n">
        <v>14.9</v>
      </c>
      <c r="L272" s="12" t="n">
        <v>387.31</v>
      </c>
      <c r="M272" s="12" t="n">
        <v>3.76</v>
      </c>
      <c r="N272" s="12" t="n">
        <v>45.4</v>
      </c>
    </row>
    <row r="273" customFormat="false" ht="15" hidden="false" customHeight="false" outlineLevel="0" collapsed="false">
      <c r="A273" s="14" t="n">
        <v>0.03705</v>
      </c>
      <c r="B273" s="14" t="n">
        <v>20</v>
      </c>
      <c r="C273" s="14" t="n">
        <v>3.33</v>
      </c>
      <c r="D273" s="15" t="n">
        <v>0</v>
      </c>
      <c r="E273" s="14" t="n">
        <v>0.4429</v>
      </c>
      <c r="F273" s="14" t="n">
        <v>6.968</v>
      </c>
      <c r="G273" s="14" t="n">
        <v>37.2</v>
      </c>
      <c r="H273" s="14" t="n">
        <v>5.2447</v>
      </c>
      <c r="I273" s="14" t="n">
        <v>5</v>
      </c>
      <c r="J273" s="14" t="n">
        <v>216</v>
      </c>
      <c r="K273" s="14" t="n">
        <v>14.9</v>
      </c>
      <c r="L273" s="14" t="n">
        <v>392.23</v>
      </c>
      <c r="M273" s="14" t="n">
        <v>4.59</v>
      </c>
      <c r="N273" s="14" t="n">
        <v>35.4</v>
      </c>
    </row>
    <row r="274" customFormat="false" ht="15" hidden="false" customHeight="false" outlineLevel="0" collapsed="false">
      <c r="A274" s="12" t="n">
        <v>0.06129</v>
      </c>
      <c r="B274" s="12" t="n">
        <v>20</v>
      </c>
      <c r="C274" s="12" t="n">
        <v>3.33</v>
      </c>
      <c r="D274" s="13" t="n">
        <v>1</v>
      </c>
      <c r="E274" s="12" t="n">
        <v>0.4429</v>
      </c>
      <c r="F274" s="12" t="n">
        <v>7.645</v>
      </c>
      <c r="G274" s="12" t="n">
        <v>49.7</v>
      </c>
      <c r="H274" s="12" t="n">
        <v>5.2119</v>
      </c>
      <c r="I274" s="12" t="n">
        <v>5</v>
      </c>
      <c r="J274" s="12" t="n">
        <v>216</v>
      </c>
      <c r="K274" s="12" t="n">
        <v>14.9</v>
      </c>
      <c r="L274" s="12" t="n">
        <v>377.07</v>
      </c>
      <c r="M274" s="12" t="n">
        <v>3.01</v>
      </c>
      <c r="N274" s="12" t="n">
        <v>46</v>
      </c>
    </row>
    <row r="275" customFormat="false" ht="15" hidden="false" customHeight="false" outlineLevel="0" collapsed="false">
      <c r="A275" s="14" t="n">
        <v>0.00906</v>
      </c>
      <c r="B275" s="14" t="n">
        <v>90</v>
      </c>
      <c r="C275" s="14" t="n">
        <v>2.97</v>
      </c>
      <c r="D275" s="15" t="n">
        <v>0</v>
      </c>
      <c r="E275" s="14" t="n">
        <v>0.4</v>
      </c>
      <c r="F275" s="14" t="n">
        <v>7.088</v>
      </c>
      <c r="G275" s="14" t="n">
        <v>20.8</v>
      </c>
      <c r="H275" s="14" t="n">
        <v>7.3073</v>
      </c>
      <c r="I275" s="14" t="n">
        <v>1</v>
      </c>
      <c r="J275" s="14" t="n">
        <v>285</v>
      </c>
      <c r="K275" s="14" t="n">
        <v>15.3</v>
      </c>
      <c r="L275" s="14" t="n">
        <v>394.72</v>
      </c>
      <c r="M275" s="14" t="n">
        <v>7.85</v>
      </c>
      <c r="N275" s="14" t="n">
        <v>32.2</v>
      </c>
    </row>
    <row r="276" customFormat="false" ht="15" hidden="false" customHeight="false" outlineLevel="0" collapsed="false">
      <c r="A276" s="12" t="n">
        <v>0.01096</v>
      </c>
      <c r="B276" s="12" t="n">
        <v>55</v>
      </c>
      <c r="C276" s="12" t="n">
        <v>2.25</v>
      </c>
      <c r="D276" s="13" t="n">
        <v>0</v>
      </c>
      <c r="E276" s="12" t="n">
        <v>0.389</v>
      </c>
      <c r="F276" s="12" t="n">
        <v>6.453</v>
      </c>
      <c r="G276" s="12" t="n">
        <v>31.9</v>
      </c>
      <c r="H276" s="12" t="n">
        <v>7.3073</v>
      </c>
      <c r="I276" s="12" t="n">
        <v>1</v>
      </c>
      <c r="J276" s="12" t="n">
        <v>300</v>
      </c>
      <c r="K276" s="12" t="n">
        <v>15.3</v>
      </c>
      <c r="L276" s="12" t="n">
        <v>394.72</v>
      </c>
      <c r="M276" s="12" t="n">
        <v>8.23</v>
      </c>
      <c r="N276" s="12" t="n">
        <v>22</v>
      </c>
    </row>
    <row r="277" customFormat="false" ht="15" hidden="false" customHeight="false" outlineLevel="0" collapsed="false">
      <c r="A277" s="14" t="n">
        <v>0.01965</v>
      </c>
      <c r="B277" s="14" t="n">
        <v>80</v>
      </c>
      <c r="C277" s="14" t="n">
        <v>1.76</v>
      </c>
      <c r="D277" s="15" t="n">
        <v>0</v>
      </c>
      <c r="E277" s="14" t="n">
        <v>0.385</v>
      </c>
      <c r="F277" s="14" t="n">
        <v>6.23</v>
      </c>
      <c r="G277" s="14" t="n">
        <v>31.5</v>
      </c>
      <c r="H277" s="14" t="n">
        <v>9.0892</v>
      </c>
      <c r="I277" s="14" t="n">
        <v>1</v>
      </c>
      <c r="J277" s="14" t="n">
        <v>241</v>
      </c>
      <c r="K277" s="14" t="n">
        <v>18.2</v>
      </c>
      <c r="L277" s="14" t="n">
        <v>341.6</v>
      </c>
      <c r="M277" s="14" t="n">
        <v>12.93</v>
      </c>
      <c r="N277" s="14" t="n">
        <v>20.1</v>
      </c>
    </row>
    <row r="278" customFormat="false" ht="15" hidden="false" customHeight="false" outlineLevel="0" collapsed="false">
      <c r="A278" s="12" t="n">
        <v>0.03871</v>
      </c>
      <c r="B278" s="12" t="n">
        <v>52.5</v>
      </c>
      <c r="C278" s="12" t="n">
        <v>5.32</v>
      </c>
      <c r="D278" s="13" t="n">
        <v>0</v>
      </c>
      <c r="E278" s="12" t="n">
        <v>0.405</v>
      </c>
      <c r="F278" s="12" t="n">
        <v>6.209</v>
      </c>
      <c r="G278" s="12" t="n">
        <v>31.3</v>
      </c>
      <c r="H278" s="12" t="n">
        <v>7.3172</v>
      </c>
      <c r="I278" s="12" t="n">
        <v>6</v>
      </c>
      <c r="J278" s="12" t="n">
        <v>293</v>
      </c>
      <c r="K278" s="12" t="n">
        <v>16.6</v>
      </c>
      <c r="L278" s="12" t="n">
        <v>396.9</v>
      </c>
      <c r="M278" s="12" t="n">
        <v>7.14</v>
      </c>
      <c r="N278" s="12" t="n">
        <v>23.2</v>
      </c>
    </row>
    <row r="279" customFormat="false" ht="15" hidden="false" customHeight="false" outlineLevel="0" collapsed="false">
      <c r="A279" s="14" t="n">
        <v>0.0459</v>
      </c>
      <c r="B279" s="14" t="n">
        <v>52.5</v>
      </c>
      <c r="C279" s="14" t="n">
        <v>5.32</v>
      </c>
      <c r="D279" s="15" t="n">
        <v>0</v>
      </c>
      <c r="E279" s="14" t="n">
        <v>0.405</v>
      </c>
      <c r="F279" s="14" t="n">
        <v>6.315</v>
      </c>
      <c r="G279" s="14" t="n">
        <v>45.6</v>
      </c>
      <c r="H279" s="14" t="n">
        <v>7.3172</v>
      </c>
      <c r="I279" s="14" t="n">
        <v>6</v>
      </c>
      <c r="J279" s="14" t="n">
        <v>293</v>
      </c>
      <c r="K279" s="14" t="n">
        <v>16.6</v>
      </c>
      <c r="L279" s="14" t="n">
        <v>396.9</v>
      </c>
      <c r="M279" s="14" t="n">
        <v>7.6</v>
      </c>
      <c r="N279" s="14" t="n">
        <v>22.3</v>
      </c>
    </row>
    <row r="280" customFormat="false" ht="15" hidden="false" customHeight="false" outlineLevel="0" collapsed="false">
      <c r="A280" s="12" t="n">
        <v>0.04297</v>
      </c>
      <c r="B280" s="12" t="n">
        <v>52.5</v>
      </c>
      <c r="C280" s="12" t="n">
        <v>5.32</v>
      </c>
      <c r="D280" s="13" t="n">
        <v>0</v>
      </c>
      <c r="E280" s="12" t="n">
        <v>0.405</v>
      </c>
      <c r="F280" s="12" t="n">
        <v>6.565</v>
      </c>
      <c r="G280" s="12" t="n">
        <v>22.9</v>
      </c>
      <c r="H280" s="12" t="n">
        <v>7.3172</v>
      </c>
      <c r="I280" s="12" t="n">
        <v>6</v>
      </c>
      <c r="J280" s="12" t="n">
        <v>293</v>
      </c>
      <c r="K280" s="12" t="n">
        <v>16.6</v>
      </c>
      <c r="L280" s="12" t="n">
        <v>371.72</v>
      </c>
      <c r="M280" s="12" t="n">
        <v>9.51</v>
      </c>
      <c r="N280" s="12" t="n">
        <v>24.8</v>
      </c>
    </row>
    <row r="281" customFormat="false" ht="15" hidden="false" customHeight="false" outlineLevel="0" collapsed="false">
      <c r="A281" s="14" t="n">
        <v>0.03502</v>
      </c>
      <c r="B281" s="14" t="n">
        <v>80</v>
      </c>
      <c r="C281" s="14" t="n">
        <v>4.95</v>
      </c>
      <c r="D281" s="15" t="n">
        <v>0</v>
      </c>
      <c r="E281" s="14" t="n">
        <v>0.411</v>
      </c>
      <c r="F281" s="14" t="n">
        <v>6.861</v>
      </c>
      <c r="G281" s="14" t="n">
        <v>27.9</v>
      </c>
      <c r="H281" s="14" t="n">
        <v>5.1167</v>
      </c>
      <c r="I281" s="14" t="n">
        <v>4</v>
      </c>
      <c r="J281" s="14" t="n">
        <v>245</v>
      </c>
      <c r="K281" s="14" t="n">
        <v>19.2</v>
      </c>
      <c r="L281" s="14" t="n">
        <v>396.9</v>
      </c>
      <c r="M281" s="14" t="n">
        <v>3.33</v>
      </c>
      <c r="N281" s="14" t="n">
        <v>28.5</v>
      </c>
    </row>
    <row r="282" customFormat="false" ht="15" hidden="false" customHeight="false" outlineLevel="0" collapsed="false">
      <c r="A282" s="12" t="n">
        <v>0.07886</v>
      </c>
      <c r="B282" s="12" t="n">
        <v>80</v>
      </c>
      <c r="C282" s="12" t="n">
        <v>4.95</v>
      </c>
      <c r="D282" s="13" t="n">
        <v>0</v>
      </c>
      <c r="E282" s="12" t="n">
        <v>0.411</v>
      </c>
      <c r="F282" s="12" t="n">
        <v>7.148</v>
      </c>
      <c r="G282" s="12" t="n">
        <v>27.7</v>
      </c>
      <c r="H282" s="12" t="n">
        <v>5.1167</v>
      </c>
      <c r="I282" s="12" t="n">
        <v>4</v>
      </c>
      <c r="J282" s="12" t="n">
        <v>245</v>
      </c>
      <c r="K282" s="12" t="n">
        <v>19.2</v>
      </c>
      <c r="L282" s="12" t="n">
        <v>396.9</v>
      </c>
      <c r="M282" s="12" t="n">
        <v>3.56</v>
      </c>
      <c r="N282" s="12" t="n">
        <v>37.3</v>
      </c>
    </row>
    <row r="283" customFormat="false" ht="15" hidden="false" customHeight="false" outlineLevel="0" collapsed="false">
      <c r="A283" s="14" t="n">
        <v>0.03615</v>
      </c>
      <c r="B283" s="14" t="n">
        <v>80</v>
      </c>
      <c r="C283" s="14" t="n">
        <v>4.95</v>
      </c>
      <c r="D283" s="15" t="n">
        <v>0</v>
      </c>
      <c r="E283" s="14" t="n">
        <v>0.411</v>
      </c>
      <c r="F283" s="14" t="n">
        <v>6.63</v>
      </c>
      <c r="G283" s="14" t="n">
        <v>23.4</v>
      </c>
      <c r="H283" s="14" t="n">
        <v>5.1167</v>
      </c>
      <c r="I283" s="14" t="n">
        <v>4</v>
      </c>
      <c r="J283" s="14" t="n">
        <v>245</v>
      </c>
      <c r="K283" s="14" t="n">
        <v>19.2</v>
      </c>
      <c r="L283" s="14" t="n">
        <v>396.9</v>
      </c>
      <c r="M283" s="14" t="n">
        <v>4.7</v>
      </c>
      <c r="N283" s="14" t="n">
        <v>27.9</v>
      </c>
    </row>
    <row r="284" customFormat="false" ht="15" hidden="false" customHeight="false" outlineLevel="0" collapsed="false">
      <c r="A284" s="12" t="n">
        <v>0.08265</v>
      </c>
      <c r="B284" s="12" t="n">
        <v>0</v>
      </c>
      <c r="C284" s="12" t="n">
        <v>13.92</v>
      </c>
      <c r="D284" s="13" t="n">
        <v>0</v>
      </c>
      <c r="E284" s="12" t="n">
        <v>0.437</v>
      </c>
      <c r="F284" s="12" t="n">
        <v>6.127</v>
      </c>
      <c r="G284" s="12" t="n">
        <v>18.4</v>
      </c>
      <c r="H284" s="12" t="n">
        <v>5.5027</v>
      </c>
      <c r="I284" s="12" t="n">
        <v>4</v>
      </c>
      <c r="J284" s="12" t="n">
        <v>289</v>
      </c>
      <c r="K284" s="12" t="n">
        <v>16</v>
      </c>
      <c r="L284" s="12" t="n">
        <v>396.9</v>
      </c>
      <c r="M284" s="12" t="n">
        <v>8.58</v>
      </c>
      <c r="N284" s="12" t="n">
        <v>23.9</v>
      </c>
    </row>
    <row r="285" customFormat="false" ht="15" hidden="false" customHeight="false" outlineLevel="0" collapsed="false">
      <c r="A285" s="14" t="n">
        <v>0.08199</v>
      </c>
      <c r="B285" s="14" t="n">
        <v>0</v>
      </c>
      <c r="C285" s="14" t="n">
        <v>13.92</v>
      </c>
      <c r="D285" s="15" t="n">
        <v>0</v>
      </c>
      <c r="E285" s="14" t="n">
        <v>0.437</v>
      </c>
      <c r="F285" s="14" t="n">
        <v>6.009</v>
      </c>
      <c r="G285" s="14" t="n">
        <v>42.3</v>
      </c>
      <c r="H285" s="14" t="n">
        <v>5.5027</v>
      </c>
      <c r="I285" s="14" t="n">
        <v>4</v>
      </c>
      <c r="J285" s="14" t="n">
        <v>289</v>
      </c>
      <c r="K285" s="14" t="n">
        <v>16</v>
      </c>
      <c r="L285" s="14" t="n">
        <v>396.9</v>
      </c>
      <c r="M285" s="14" t="n">
        <v>10.4</v>
      </c>
      <c r="N285" s="14" t="n">
        <v>21.7</v>
      </c>
    </row>
    <row r="286" customFormat="false" ht="15" hidden="false" customHeight="false" outlineLevel="0" collapsed="false">
      <c r="A286" s="12" t="n">
        <v>0.12932</v>
      </c>
      <c r="B286" s="12" t="n">
        <v>0</v>
      </c>
      <c r="C286" s="12" t="n">
        <v>13.92</v>
      </c>
      <c r="D286" s="13" t="n">
        <v>0</v>
      </c>
      <c r="E286" s="12" t="n">
        <v>0.437</v>
      </c>
      <c r="F286" s="12" t="n">
        <v>6.678</v>
      </c>
      <c r="G286" s="12" t="n">
        <v>31.1</v>
      </c>
      <c r="H286" s="12" t="n">
        <v>5.9604</v>
      </c>
      <c r="I286" s="12" t="n">
        <v>4</v>
      </c>
      <c r="J286" s="12" t="n">
        <v>289</v>
      </c>
      <c r="K286" s="12" t="n">
        <v>16</v>
      </c>
      <c r="L286" s="12" t="n">
        <v>396.9</v>
      </c>
      <c r="M286" s="12" t="n">
        <v>6.27</v>
      </c>
      <c r="N286" s="12" t="n">
        <v>28.6</v>
      </c>
    </row>
    <row r="287" customFormat="false" ht="15" hidden="false" customHeight="false" outlineLevel="0" collapsed="false">
      <c r="A287" s="14" t="n">
        <v>0.05372</v>
      </c>
      <c r="B287" s="14" t="n">
        <v>0</v>
      </c>
      <c r="C287" s="14" t="n">
        <v>13.92</v>
      </c>
      <c r="D287" s="15" t="n">
        <v>0</v>
      </c>
      <c r="E287" s="14" t="n">
        <v>0.437</v>
      </c>
      <c r="F287" s="14" t="n">
        <v>6.549</v>
      </c>
      <c r="G287" s="14" t="n">
        <v>51</v>
      </c>
      <c r="H287" s="14" t="n">
        <v>5.9604</v>
      </c>
      <c r="I287" s="14" t="n">
        <v>4</v>
      </c>
      <c r="J287" s="14" t="n">
        <v>289</v>
      </c>
      <c r="K287" s="14" t="n">
        <v>16</v>
      </c>
      <c r="L287" s="14" t="n">
        <v>392.85</v>
      </c>
      <c r="M287" s="14" t="n">
        <v>7.39</v>
      </c>
      <c r="N287" s="14" t="n">
        <v>27.1</v>
      </c>
    </row>
    <row r="288" customFormat="false" ht="15" hidden="false" customHeight="false" outlineLevel="0" collapsed="false">
      <c r="A288" s="12" t="n">
        <v>0.14103</v>
      </c>
      <c r="B288" s="12" t="n">
        <v>0</v>
      </c>
      <c r="C288" s="12" t="n">
        <v>13.92</v>
      </c>
      <c r="D288" s="13" t="n">
        <v>0</v>
      </c>
      <c r="E288" s="12" t="n">
        <v>0.437</v>
      </c>
      <c r="F288" s="12" t="n">
        <v>5.79</v>
      </c>
      <c r="G288" s="12" t="n">
        <v>58</v>
      </c>
      <c r="H288" s="12" t="n">
        <v>6.32</v>
      </c>
      <c r="I288" s="12" t="n">
        <v>4</v>
      </c>
      <c r="J288" s="12" t="n">
        <v>289</v>
      </c>
      <c r="K288" s="12" t="n">
        <v>16</v>
      </c>
      <c r="L288" s="12" t="n">
        <v>396.9</v>
      </c>
      <c r="M288" s="12" t="n">
        <v>15.84</v>
      </c>
      <c r="N288" s="12" t="n">
        <v>20.3</v>
      </c>
    </row>
    <row r="289" customFormat="false" ht="15" hidden="false" customHeight="false" outlineLevel="0" collapsed="false">
      <c r="A289" s="14" t="n">
        <v>0.06466</v>
      </c>
      <c r="B289" s="14" t="n">
        <v>70</v>
      </c>
      <c r="C289" s="14" t="n">
        <v>2.24</v>
      </c>
      <c r="D289" s="15" t="n">
        <v>0</v>
      </c>
      <c r="E289" s="14" t="n">
        <v>0.4</v>
      </c>
      <c r="F289" s="14" t="n">
        <v>6.345</v>
      </c>
      <c r="G289" s="14" t="n">
        <v>20.1</v>
      </c>
      <c r="H289" s="14" t="n">
        <v>7.8278</v>
      </c>
      <c r="I289" s="14" t="n">
        <v>5</v>
      </c>
      <c r="J289" s="14" t="n">
        <v>358</v>
      </c>
      <c r="K289" s="14" t="n">
        <v>14.8</v>
      </c>
      <c r="L289" s="14" t="n">
        <v>368.24</v>
      </c>
      <c r="M289" s="14" t="n">
        <v>4.97</v>
      </c>
      <c r="N289" s="14" t="n">
        <v>22.5</v>
      </c>
    </row>
    <row r="290" customFormat="false" ht="15" hidden="false" customHeight="false" outlineLevel="0" collapsed="false">
      <c r="A290" s="12" t="n">
        <v>0.05561</v>
      </c>
      <c r="B290" s="12" t="n">
        <v>70</v>
      </c>
      <c r="C290" s="12" t="n">
        <v>2.24</v>
      </c>
      <c r="D290" s="13" t="n">
        <v>0</v>
      </c>
      <c r="E290" s="12" t="n">
        <v>0.4</v>
      </c>
      <c r="F290" s="12" t="n">
        <v>7.041</v>
      </c>
      <c r="G290" s="12" t="n">
        <v>10</v>
      </c>
      <c r="H290" s="12" t="n">
        <v>7.8278</v>
      </c>
      <c r="I290" s="12" t="n">
        <v>5</v>
      </c>
      <c r="J290" s="12" t="n">
        <v>358</v>
      </c>
      <c r="K290" s="12" t="n">
        <v>14.8</v>
      </c>
      <c r="L290" s="12" t="n">
        <v>371.58</v>
      </c>
      <c r="M290" s="12" t="n">
        <v>4.74</v>
      </c>
      <c r="N290" s="12" t="n">
        <v>29</v>
      </c>
    </row>
    <row r="291" customFormat="false" ht="15" hidden="false" customHeight="false" outlineLevel="0" collapsed="false">
      <c r="A291" s="14" t="n">
        <v>0.04417</v>
      </c>
      <c r="B291" s="14" t="n">
        <v>70</v>
      </c>
      <c r="C291" s="14" t="n">
        <v>2.24</v>
      </c>
      <c r="D291" s="15" t="n">
        <v>0</v>
      </c>
      <c r="E291" s="14" t="n">
        <v>0.4</v>
      </c>
      <c r="F291" s="14" t="n">
        <v>6.871</v>
      </c>
      <c r="G291" s="14" t="n">
        <v>47.4</v>
      </c>
      <c r="H291" s="14" t="n">
        <v>7.8278</v>
      </c>
      <c r="I291" s="14" t="n">
        <v>5</v>
      </c>
      <c r="J291" s="14" t="n">
        <v>358</v>
      </c>
      <c r="K291" s="14" t="n">
        <v>14.8</v>
      </c>
      <c r="L291" s="14" t="n">
        <v>390.86</v>
      </c>
      <c r="M291" s="14" t="n">
        <v>6.07</v>
      </c>
      <c r="N291" s="14" t="n">
        <v>24.8</v>
      </c>
    </row>
    <row r="292" customFormat="false" ht="15" hidden="false" customHeight="false" outlineLevel="0" collapsed="false">
      <c r="A292" s="12" t="n">
        <v>0.03537</v>
      </c>
      <c r="B292" s="12" t="n">
        <v>34</v>
      </c>
      <c r="C292" s="12" t="n">
        <v>6.09</v>
      </c>
      <c r="D292" s="13" t="n">
        <v>0</v>
      </c>
      <c r="E292" s="12" t="n">
        <v>0.433</v>
      </c>
      <c r="F292" s="12" t="n">
        <v>6.59</v>
      </c>
      <c r="G292" s="12" t="n">
        <v>40.4</v>
      </c>
      <c r="H292" s="12" t="n">
        <v>5.4917</v>
      </c>
      <c r="I292" s="12" t="n">
        <v>7</v>
      </c>
      <c r="J292" s="12" t="n">
        <v>329</v>
      </c>
      <c r="K292" s="12" t="n">
        <v>16.1</v>
      </c>
      <c r="L292" s="12" t="n">
        <v>395.75</v>
      </c>
      <c r="M292" s="12" t="n">
        <v>9.5</v>
      </c>
      <c r="N292" s="12" t="n">
        <v>22</v>
      </c>
    </row>
    <row r="293" customFormat="false" ht="15" hidden="false" customHeight="false" outlineLevel="0" collapsed="false">
      <c r="A293" s="14" t="n">
        <v>0.09266</v>
      </c>
      <c r="B293" s="14" t="n">
        <v>34</v>
      </c>
      <c r="C293" s="14" t="n">
        <v>6.09</v>
      </c>
      <c r="D293" s="15" t="n">
        <v>0</v>
      </c>
      <c r="E293" s="14" t="n">
        <v>0.433</v>
      </c>
      <c r="F293" s="14" t="n">
        <v>6.495</v>
      </c>
      <c r="G293" s="14" t="n">
        <v>18.4</v>
      </c>
      <c r="H293" s="14" t="n">
        <v>5.4917</v>
      </c>
      <c r="I293" s="14" t="n">
        <v>7</v>
      </c>
      <c r="J293" s="14" t="n">
        <v>329</v>
      </c>
      <c r="K293" s="14" t="n">
        <v>16.1</v>
      </c>
      <c r="L293" s="14" t="n">
        <v>383.61</v>
      </c>
      <c r="M293" s="14" t="n">
        <v>8.67</v>
      </c>
      <c r="N293" s="14" t="n">
        <v>26.4</v>
      </c>
    </row>
    <row r="294" customFormat="false" ht="15" hidden="false" customHeight="false" outlineLevel="0" collapsed="false">
      <c r="A294" s="12" t="n">
        <v>0.1</v>
      </c>
      <c r="B294" s="12" t="n">
        <v>34</v>
      </c>
      <c r="C294" s="12" t="n">
        <v>6.09</v>
      </c>
      <c r="D294" s="13" t="n">
        <v>0</v>
      </c>
      <c r="E294" s="12" t="n">
        <v>0.433</v>
      </c>
      <c r="F294" s="12" t="n">
        <v>6.982</v>
      </c>
      <c r="G294" s="12" t="n">
        <v>17.7</v>
      </c>
      <c r="H294" s="12" t="n">
        <v>5.4917</v>
      </c>
      <c r="I294" s="12" t="n">
        <v>7</v>
      </c>
      <c r="J294" s="12" t="n">
        <v>329</v>
      </c>
      <c r="K294" s="12" t="n">
        <v>16.1</v>
      </c>
      <c r="L294" s="12" t="n">
        <v>390.43</v>
      </c>
      <c r="M294" s="12" t="n">
        <v>4.86</v>
      </c>
      <c r="N294" s="12" t="n">
        <v>33.1</v>
      </c>
    </row>
    <row r="295" customFormat="false" ht="15" hidden="false" customHeight="false" outlineLevel="0" collapsed="false">
      <c r="A295" s="14" t="n">
        <v>0.05515</v>
      </c>
      <c r="B295" s="14" t="n">
        <v>33</v>
      </c>
      <c r="C295" s="14" t="n">
        <v>2.18</v>
      </c>
      <c r="D295" s="15" t="n">
        <v>0</v>
      </c>
      <c r="E295" s="14" t="n">
        <v>0.472</v>
      </c>
      <c r="F295" s="14" t="n">
        <v>7.236</v>
      </c>
      <c r="G295" s="14" t="n">
        <v>41.1</v>
      </c>
      <c r="H295" s="14" t="n">
        <v>4.022</v>
      </c>
      <c r="I295" s="14" t="n">
        <v>7</v>
      </c>
      <c r="J295" s="14" t="n">
        <v>222</v>
      </c>
      <c r="K295" s="14" t="n">
        <v>18.4</v>
      </c>
      <c r="L295" s="14" t="n">
        <v>393.68</v>
      </c>
      <c r="M295" s="14" t="n">
        <v>6.93</v>
      </c>
      <c r="N295" s="14" t="n">
        <v>36.1</v>
      </c>
    </row>
    <row r="296" customFormat="false" ht="15" hidden="false" customHeight="false" outlineLevel="0" collapsed="false">
      <c r="A296" s="12" t="n">
        <v>0.05479</v>
      </c>
      <c r="B296" s="12" t="n">
        <v>33</v>
      </c>
      <c r="C296" s="12" t="n">
        <v>2.18</v>
      </c>
      <c r="D296" s="13" t="n">
        <v>0</v>
      </c>
      <c r="E296" s="12" t="n">
        <v>0.472</v>
      </c>
      <c r="F296" s="12" t="n">
        <v>6.616</v>
      </c>
      <c r="G296" s="12" t="n">
        <v>58.1</v>
      </c>
      <c r="H296" s="12" t="n">
        <v>3.37</v>
      </c>
      <c r="I296" s="12" t="n">
        <v>7</v>
      </c>
      <c r="J296" s="12" t="n">
        <v>222</v>
      </c>
      <c r="K296" s="12" t="n">
        <v>18.4</v>
      </c>
      <c r="L296" s="12" t="n">
        <v>393.36</v>
      </c>
      <c r="M296" s="12" t="n">
        <v>8.93</v>
      </c>
      <c r="N296" s="12" t="n">
        <v>28.4</v>
      </c>
    </row>
    <row r="297" customFormat="false" ht="15" hidden="false" customHeight="false" outlineLevel="0" collapsed="false">
      <c r="A297" s="14" t="n">
        <v>0.07503</v>
      </c>
      <c r="B297" s="14" t="n">
        <v>33</v>
      </c>
      <c r="C297" s="14" t="n">
        <v>2.18</v>
      </c>
      <c r="D297" s="15" t="n">
        <v>0</v>
      </c>
      <c r="E297" s="14" t="n">
        <v>0.472</v>
      </c>
      <c r="F297" s="14" t="n">
        <v>7.42</v>
      </c>
      <c r="G297" s="14" t="n">
        <v>71.9</v>
      </c>
      <c r="H297" s="14" t="n">
        <v>3.0992</v>
      </c>
      <c r="I297" s="14" t="n">
        <v>7</v>
      </c>
      <c r="J297" s="14" t="n">
        <v>222</v>
      </c>
      <c r="K297" s="14" t="n">
        <v>18.4</v>
      </c>
      <c r="L297" s="14" t="n">
        <v>396.9</v>
      </c>
      <c r="M297" s="14" t="n">
        <v>6.47</v>
      </c>
      <c r="N297" s="14" t="n">
        <v>33.4</v>
      </c>
    </row>
    <row r="298" customFormat="false" ht="15" hidden="false" customHeight="false" outlineLevel="0" collapsed="false">
      <c r="A298" s="12" t="n">
        <v>0.04932</v>
      </c>
      <c r="B298" s="12" t="n">
        <v>33</v>
      </c>
      <c r="C298" s="12" t="n">
        <v>2.18</v>
      </c>
      <c r="D298" s="13" t="n">
        <v>0</v>
      </c>
      <c r="E298" s="12" t="n">
        <v>0.472</v>
      </c>
      <c r="F298" s="12" t="n">
        <v>6.849</v>
      </c>
      <c r="G298" s="12" t="n">
        <v>70.3</v>
      </c>
      <c r="H298" s="12" t="n">
        <v>3.1827</v>
      </c>
      <c r="I298" s="12" t="n">
        <v>7</v>
      </c>
      <c r="J298" s="12" t="n">
        <v>222</v>
      </c>
      <c r="K298" s="12" t="n">
        <v>18.4</v>
      </c>
      <c r="L298" s="12" t="n">
        <v>396.9</v>
      </c>
      <c r="M298" s="12" t="n">
        <v>7.53</v>
      </c>
      <c r="N298" s="12" t="n">
        <v>28.2</v>
      </c>
    </row>
    <row r="299" customFormat="false" ht="15" hidden="false" customHeight="false" outlineLevel="0" collapsed="false">
      <c r="A299" s="14" t="n">
        <v>0.49298</v>
      </c>
      <c r="B299" s="14" t="n">
        <v>0</v>
      </c>
      <c r="C299" s="14" t="n">
        <v>9.9</v>
      </c>
      <c r="D299" s="15" t="n">
        <v>0</v>
      </c>
      <c r="E299" s="14" t="n">
        <v>0.544</v>
      </c>
      <c r="F299" s="14" t="n">
        <v>6.635</v>
      </c>
      <c r="G299" s="14" t="n">
        <v>82.5</v>
      </c>
      <c r="H299" s="14" t="n">
        <v>3.3175</v>
      </c>
      <c r="I299" s="14" t="n">
        <v>4</v>
      </c>
      <c r="J299" s="14" t="n">
        <v>304</v>
      </c>
      <c r="K299" s="14" t="n">
        <v>18.4</v>
      </c>
      <c r="L299" s="14" t="n">
        <v>396.9</v>
      </c>
      <c r="M299" s="14" t="n">
        <v>4.54</v>
      </c>
      <c r="N299" s="14" t="n">
        <v>22.8</v>
      </c>
    </row>
    <row r="300" customFormat="false" ht="15" hidden="false" customHeight="false" outlineLevel="0" collapsed="false">
      <c r="A300" s="12" t="n">
        <v>0.3494</v>
      </c>
      <c r="B300" s="12" t="n">
        <v>0</v>
      </c>
      <c r="C300" s="12" t="n">
        <v>9.9</v>
      </c>
      <c r="D300" s="13" t="n">
        <v>0</v>
      </c>
      <c r="E300" s="12" t="n">
        <v>0.544</v>
      </c>
      <c r="F300" s="12" t="n">
        <v>5.972</v>
      </c>
      <c r="G300" s="12" t="n">
        <v>76.7</v>
      </c>
      <c r="H300" s="12" t="n">
        <v>3.1025</v>
      </c>
      <c r="I300" s="12" t="n">
        <v>4</v>
      </c>
      <c r="J300" s="12" t="n">
        <v>304</v>
      </c>
      <c r="K300" s="12" t="n">
        <v>18.4</v>
      </c>
      <c r="L300" s="12" t="n">
        <v>396.24</v>
      </c>
      <c r="M300" s="12" t="n">
        <v>9.97</v>
      </c>
      <c r="N300" s="12" t="n">
        <v>20.3</v>
      </c>
    </row>
    <row r="301" customFormat="false" ht="15" hidden="false" customHeight="false" outlineLevel="0" collapsed="false">
      <c r="A301" s="14" t="n">
        <v>2.63548</v>
      </c>
      <c r="B301" s="14" t="n">
        <v>0</v>
      </c>
      <c r="C301" s="14" t="n">
        <v>9.9</v>
      </c>
      <c r="D301" s="15" t="n">
        <v>0</v>
      </c>
      <c r="E301" s="14" t="n">
        <v>0.544</v>
      </c>
      <c r="F301" s="14" t="n">
        <v>4.973</v>
      </c>
      <c r="G301" s="14" t="n">
        <v>37.8</v>
      </c>
      <c r="H301" s="14" t="n">
        <v>2.5194</v>
      </c>
      <c r="I301" s="14" t="n">
        <v>4</v>
      </c>
      <c r="J301" s="14" t="n">
        <v>304</v>
      </c>
      <c r="K301" s="14" t="n">
        <v>18.4</v>
      </c>
      <c r="L301" s="14" t="n">
        <v>350.45</v>
      </c>
      <c r="M301" s="14" t="n">
        <v>12.64</v>
      </c>
      <c r="N301" s="14" t="n">
        <v>16.1</v>
      </c>
    </row>
    <row r="302" customFormat="false" ht="15" hidden="false" customHeight="false" outlineLevel="0" collapsed="false">
      <c r="A302" s="12" t="n">
        <v>0.79041</v>
      </c>
      <c r="B302" s="12" t="n">
        <v>0</v>
      </c>
      <c r="C302" s="12" t="n">
        <v>9.9</v>
      </c>
      <c r="D302" s="13" t="n">
        <v>0</v>
      </c>
      <c r="E302" s="12" t="n">
        <v>0.544</v>
      </c>
      <c r="F302" s="12" t="n">
        <v>6.122</v>
      </c>
      <c r="G302" s="12" t="n">
        <v>52.8</v>
      </c>
      <c r="H302" s="12" t="n">
        <v>2.6403</v>
      </c>
      <c r="I302" s="12" t="n">
        <v>4</v>
      </c>
      <c r="J302" s="12" t="n">
        <v>304</v>
      </c>
      <c r="K302" s="12" t="n">
        <v>18.4</v>
      </c>
      <c r="L302" s="12" t="n">
        <v>396.9</v>
      </c>
      <c r="M302" s="12" t="n">
        <v>5.98</v>
      </c>
      <c r="N302" s="12" t="n">
        <v>22.1</v>
      </c>
    </row>
    <row r="303" customFormat="false" ht="15" hidden="false" customHeight="false" outlineLevel="0" collapsed="false">
      <c r="A303" s="14" t="n">
        <v>0.26169</v>
      </c>
      <c r="B303" s="14" t="n">
        <v>0</v>
      </c>
      <c r="C303" s="14" t="n">
        <v>9.9</v>
      </c>
      <c r="D303" s="15" t="n">
        <v>0</v>
      </c>
      <c r="E303" s="14" t="n">
        <v>0.544</v>
      </c>
      <c r="F303" s="14" t="n">
        <v>6.023</v>
      </c>
      <c r="G303" s="14" t="n">
        <v>90.4</v>
      </c>
      <c r="H303" s="14" t="n">
        <v>2.834</v>
      </c>
      <c r="I303" s="14" t="n">
        <v>4</v>
      </c>
      <c r="J303" s="14" t="n">
        <v>304</v>
      </c>
      <c r="K303" s="14" t="n">
        <v>18.4</v>
      </c>
      <c r="L303" s="14" t="n">
        <v>396.3</v>
      </c>
      <c r="M303" s="14" t="n">
        <v>11.72</v>
      </c>
      <c r="N303" s="14" t="n">
        <v>19.4</v>
      </c>
    </row>
    <row r="304" customFormat="false" ht="15" hidden="false" customHeight="false" outlineLevel="0" collapsed="false">
      <c r="A304" s="12" t="n">
        <v>0.26938</v>
      </c>
      <c r="B304" s="12" t="n">
        <v>0</v>
      </c>
      <c r="C304" s="12" t="n">
        <v>9.9</v>
      </c>
      <c r="D304" s="13" t="n">
        <v>0</v>
      </c>
      <c r="E304" s="12" t="n">
        <v>0.544</v>
      </c>
      <c r="F304" s="12" t="n">
        <v>6.266</v>
      </c>
      <c r="G304" s="12" t="n">
        <v>82.8</v>
      </c>
      <c r="H304" s="12" t="n">
        <v>3.2628</v>
      </c>
      <c r="I304" s="12" t="n">
        <v>4</v>
      </c>
      <c r="J304" s="12" t="n">
        <v>304</v>
      </c>
      <c r="K304" s="12" t="n">
        <v>18.4</v>
      </c>
      <c r="L304" s="12" t="n">
        <v>393.39</v>
      </c>
      <c r="M304" s="12" t="n">
        <v>7.9</v>
      </c>
      <c r="N304" s="12" t="n">
        <v>21.6</v>
      </c>
    </row>
    <row r="305" customFormat="false" ht="15" hidden="false" customHeight="false" outlineLevel="0" collapsed="false">
      <c r="A305" s="14" t="n">
        <v>0.3692</v>
      </c>
      <c r="B305" s="14" t="n">
        <v>0</v>
      </c>
      <c r="C305" s="14" t="n">
        <v>9.9</v>
      </c>
      <c r="D305" s="15" t="n">
        <v>0</v>
      </c>
      <c r="E305" s="14" t="n">
        <v>0.544</v>
      </c>
      <c r="F305" s="14" t="n">
        <v>6.567</v>
      </c>
      <c r="G305" s="14" t="n">
        <v>87.3</v>
      </c>
      <c r="H305" s="14" t="n">
        <v>3.6023</v>
      </c>
      <c r="I305" s="14" t="n">
        <v>4</v>
      </c>
      <c r="J305" s="14" t="n">
        <v>304</v>
      </c>
      <c r="K305" s="14" t="n">
        <v>18.4</v>
      </c>
      <c r="L305" s="14" t="n">
        <v>395.69</v>
      </c>
      <c r="M305" s="14" t="n">
        <v>9.28</v>
      </c>
      <c r="N305" s="14" t="n">
        <v>23.8</v>
      </c>
    </row>
    <row r="306" customFormat="false" ht="15" hidden="false" customHeight="false" outlineLevel="0" collapsed="false">
      <c r="A306" s="12" t="n">
        <v>0.25356</v>
      </c>
      <c r="B306" s="12" t="n">
        <v>0</v>
      </c>
      <c r="C306" s="12" t="n">
        <v>9.9</v>
      </c>
      <c r="D306" s="13" t="n">
        <v>0</v>
      </c>
      <c r="E306" s="12" t="n">
        <v>0.544</v>
      </c>
      <c r="F306" s="12" t="n">
        <v>5.705</v>
      </c>
      <c r="G306" s="12" t="n">
        <v>77.7</v>
      </c>
      <c r="H306" s="12" t="n">
        <v>3.945</v>
      </c>
      <c r="I306" s="12" t="n">
        <v>4</v>
      </c>
      <c r="J306" s="12" t="n">
        <v>304</v>
      </c>
      <c r="K306" s="12" t="n">
        <v>18.4</v>
      </c>
      <c r="L306" s="12" t="n">
        <v>396.42</v>
      </c>
      <c r="M306" s="12" t="n">
        <v>11.5</v>
      </c>
      <c r="N306" s="12" t="n">
        <v>16.2</v>
      </c>
    </row>
    <row r="307" customFormat="false" ht="15" hidden="false" customHeight="false" outlineLevel="0" collapsed="false">
      <c r="A307" s="14" t="n">
        <v>0.31827</v>
      </c>
      <c r="B307" s="14" t="n">
        <v>0</v>
      </c>
      <c r="C307" s="14" t="n">
        <v>9.9</v>
      </c>
      <c r="D307" s="15" t="n">
        <v>0</v>
      </c>
      <c r="E307" s="14" t="n">
        <v>0.544</v>
      </c>
      <c r="F307" s="14" t="n">
        <v>5.914</v>
      </c>
      <c r="G307" s="14" t="n">
        <v>83.2</v>
      </c>
      <c r="H307" s="14" t="n">
        <v>3.9986</v>
      </c>
      <c r="I307" s="14" t="n">
        <v>4</v>
      </c>
      <c r="J307" s="14" t="n">
        <v>304</v>
      </c>
      <c r="K307" s="14" t="n">
        <v>18.4</v>
      </c>
      <c r="L307" s="14" t="n">
        <v>390.7</v>
      </c>
      <c r="M307" s="14" t="n">
        <v>18.33</v>
      </c>
      <c r="N307" s="14" t="n">
        <v>17.8</v>
      </c>
    </row>
    <row r="308" customFormat="false" ht="15" hidden="false" customHeight="false" outlineLevel="0" collapsed="false">
      <c r="A308" s="12" t="n">
        <v>0.24522</v>
      </c>
      <c r="B308" s="12" t="n">
        <v>0</v>
      </c>
      <c r="C308" s="12" t="n">
        <v>9.9</v>
      </c>
      <c r="D308" s="13" t="n">
        <v>0</v>
      </c>
      <c r="E308" s="12" t="n">
        <v>0.544</v>
      </c>
      <c r="F308" s="12" t="n">
        <v>5.782</v>
      </c>
      <c r="G308" s="12" t="n">
        <v>71.7</v>
      </c>
      <c r="H308" s="12" t="n">
        <v>4.0317</v>
      </c>
      <c r="I308" s="12" t="n">
        <v>4</v>
      </c>
      <c r="J308" s="12" t="n">
        <v>304</v>
      </c>
      <c r="K308" s="12" t="n">
        <v>18.4</v>
      </c>
      <c r="L308" s="12" t="n">
        <v>396.9</v>
      </c>
      <c r="M308" s="12" t="n">
        <v>15.94</v>
      </c>
      <c r="N308" s="12" t="n">
        <v>19.8</v>
      </c>
    </row>
    <row r="309" customFormat="false" ht="15" hidden="false" customHeight="false" outlineLevel="0" collapsed="false">
      <c r="A309" s="14" t="n">
        <v>0.40202</v>
      </c>
      <c r="B309" s="14" t="n">
        <v>0</v>
      </c>
      <c r="C309" s="14" t="n">
        <v>9.9</v>
      </c>
      <c r="D309" s="15" t="n">
        <v>0</v>
      </c>
      <c r="E309" s="14" t="n">
        <v>0.544</v>
      </c>
      <c r="F309" s="14" t="n">
        <v>6.382</v>
      </c>
      <c r="G309" s="14" t="n">
        <v>67.2</v>
      </c>
      <c r="H309" s="14" t="n">
        <v>3.5325</v>
      </c>
      <c r="I309" s="14" t="n">
        <v>4</v>
      </c>
      <c r="J309" s="14" t="n">
        <v>304</v>
      </c>
      <c r="K309" s="14" t="n">
        <v>18.4</v>
      </c>
      <c r="L309" s="14" t="n">
        <v>395.21</v>
      </c>
      <c r="M309" s="14" t="n">
        <v>10.36</v>
      </c>
      <c r="N309" s="14" t="n">
        <v>23.1</v>
      </c>
    </row>
    <row r="310" customFormat="false" ht="15" hidden="false" customHeight="false" outlineLevel="0" collapsed="false">
      <c r="A310" s="12" t="n">
        <v>0.47547</v>
      </c>
      <c r="B310" s="12" t="n">
        <v>0</v>
      </c>
      <c r="C310" s="12" t="n">
        <v>9.9</v>
      </c>
      <c r="D310" s="13" t="n">
        <v>0</v>
      </c>
      <c r="E310" s="12" t="n">
        <v>0.544</v>
      </c>
      <c r="F310" s="12" t="n">
        <v>6.113</v>
      </c>
      <c r="G310" s="12" t="n">
        <v>58.8</v>
      </c>
      <c r="H310" s="12" t="n">
        <v>4.0019</v>
      </c>
      <c r="I310" s="12" t="n">
        <v>4</v>
      </c>
      <c r="J310" s="12" t="n">
        <v>304</v>
      </c>
      <c r="K310" s="12" t="n">
        <v>18.4</v>
      </c>
      <c r="L310" s="12" t="n">
        <v>396.23</v>
      </c>
      <c r="M310" s="12" t="n">
        <v>12.73</v>
      </c>
      <c r="N310" s="12" t="n">
        <v>21</v>
      </c>
    </row>
    <row r="311" customFormat="false" ht="15" hidden="false" customHeight="false" outlineLevel="0" collapsed="false">
      <c r="A311" s="14" t="n">
        <v>0.1676</v>
      </c>
      <c r="B311" s="14" t="n">
        <v>0</v>
      </c>
      <c r="C311" s="14" t="n">
        <v>7.38</v>
      </c>
      <c r="D311" s="15" t="n">
        <v>0</v>
      </c>
      <c r="E311" s="14" t="n">
        <v>0.493</v>
      </c>
      <c r="F311" s="14" t="n">
        <v>6.426</v>
      </c>
      <c r="G311" s="14" t="n">
        <v>52.3</v>
      </c>
      <c r="H311" s="14" t="n">
        <v>4.5404</v>
      </c>
      <c r="I311" s="14" t="n">
        <v>5</v>
      </c>
      <c r="J311" s="14" t="n">
        <v>287</v>
      </c>
      <c r="K311" s="14" t="n">
        <v>19.6</v>
      </c>
      <c r="L311" s="14" t="n">
        <v>396.9</v>
      </c>
      <c r="M311" s="14" t="n">
        <v>7.2</v>
      </c>
      <c r="N311" s="14" t="n">
        <v>23.8</v>
      </c>
    </row>
    <row r="312" customFormat="false" ht="15" hidden="false" customHeight="false" outlineLevel="0" collapsed="false">
      <c r="A312" s="12" t="n">
        <v>0.18159</v>
      </c>
      <c r="B312" s="12" t="n">
        <v>0</v>
      </c>
      <c r="C312" s="12" t="n">
        <v>7.38</v>
      </c>
      <c r="D312" s="13" t="n">
        <v>0</v>
      </c>
      <c r="E312" s="12" t="n">
        <v>0.493</v>
      </c>
      <c r="F312" s="12" t="n">
        <v>6.376</v>
      </c>
      <c r="G312" s="12" t="n">
        <v>54.3</v>
      </c>
      <c r="H312" s="12" t="n">
        <v>4.5404</v>
      </c>
      <c r="I312" s="12" t="n">
        <v>5</v>
      </c>
      <c r="J312" s="12" t="n">
        <v>287</v>
      </c>
      <c r="K312" s="12" t="n">
        <v>19.6</v>
      </c>
      <c r="L312" s="12" t="n">
        <v>396.9</v>
      </c>
      <c r="M312" s="12" t="n">
        <v>6.87</v>
      </c>
      <c r="N312" s="12" t="n">
        <v>23.1</v>
      </c>
    </row>
    <row r="313" customFormat="false" ht="15" hidden="false" customHeight="false" outlineLevel="0" collapsed="false">
      <c r="A313" s="14" t="n">
        <v>0.35114</v>
      </c>
      <c r="B313" s="14" t="n">
        <v>0</v>
      </c>
      <c r="C313" s="14" t="n">
        <v>7.38</v>
      </c>
      <c r="D313" s="15" t="n">
        <v>0</v>
      </c>
      <c r="E313" s="14" t="n">
        <v>0.493</v>
      </c>
      <c r="F313" s="14" t="n">
        <v>6.041</v>
      </c>
      <c r="G313" s="14" t="n">
        <v>49.9</v>
      </c>
      <c r="H313" s="14" t="n">
        <v>4.7211</v>
      </c>
      <c r="I313" s="14" t="n">
        <v>5</v>
      </c>
      <c r="J313" s="14" t="n">
        <v>287</v>
      </c>
      <c r="K313" s="14" t="n">
        <v>19.6</v>
      </c>
      <c r="L313" s="14" t="n">
        <v>396.9</v>
      </c>
      <c r="M313" s="14" t="n">
        <v>7.7</v>
      </c>
      <c r="N313" s="14" t="n">
        <v>20.4</v>
      </c>
    </row>
    <row r="314" customFormat="false" ht="15" hidden="false" customHeight="false" outlineLevel="0" collapsed="false">
      <c r="A314" s="12" t="n">
        <v>0.28392</v>
      </c>
      <c r="B314" s="12" t="n">
        <v>0</v>
      </c>
      <c r="C314" s="12" t="n">
        <v>7.38</v>
      </c>
      <c r="D314" s="13" t="n">
        <v>0</v>
      </c>
      <c r="E314" s="12" t="n">
        <v>0.493</v>
      </c>
      <c r="F314" s="12" t="n">
        <v>5.708</v>
      </c>
      <c r="G314" s="12" t="n">
        <v>74.3</v>
      </c>
      <c r="H314" s="12" t="n">
        <v>4.7211</v>
      </c>
      <c r="I314" s="12" t="n">
        <v>5</v>
      </c>
      <c r="J314" s="12" t="n">
        <v>287</v>
      </c>
      <c r="K314" s="12" t="n">
        <v>19.6</v>
      </c>
      <c r="L314" s="12" t="n">
        <v>391.13</v>
      </c>
      <c r="M314" s="12" t="n">
        <v>11.74</v>
      </c>
      <c r="N314" s="12" t="n">
        <v>18.5</v>
      </c>
    </row>
    <row r="315" customFormat="false" ht="15" hidden="false" customHeight="false" outlineLevel="0" collapsed="false">
      <c r="A315" s="14" t="n">
        <v>0.34109</v>
      </c>
      <c r="B315" s="14" t="n">
        <v>0</v>
      </c>
      <c r="C315" s="14" t="n">
        <v>7.38</v>
      </c>
      <c r="D315" s="15" t="n">
        <v>0</v>
      </c>
      <c r="E315" s="14" t="n">
        <v>0.493</v>
      </c>
      <c r="F315" s="14" t="n">
        <v>6.415</v>
      </c>
      <c r="G315" s="14" t="n">
        <v>40.1</v>
      </c>
      <c r="H315" s="14" t="n">
        <v>4.7211</v>
      </c>
      <c r="I315" s="14" t="n">
        <v>5</v>
      </c>
      <c r="J315" s="14" t="n">
        <v>287</v>
      </c>
      <c r="K315" s="14" t="n">
        <v>19.6</v>
      </c>
      <c r="L315" s="14" t="n">
        <v>396.9</v>
      </c>
      <c r="M315" s="14" t="n">
        <v>6.12</v>
      </c>
      <c r="N315" s="14" t="n">
        <v>25</v>
      </c>
    </row>
    <row r="316" customFormat="false" ht="15" hidden="false" customHeight="false" outlineLevel="0" collapsed="false">
      <c r="A316" s="12" t="n">
        <v>0.19186</v>
      </c>
      <c r="B316" s="12" t="n">
        <v>0</v>
      </c>
      <c r="C316" s="12" t="n">
        <v>7.38</v>
      </c>
      <c r="D316" s="13" t="n">
        <v>0</v>
      </c>
      <c r="E316" s="12" t="n">
        <v>0.493</v>
      </c>
      <c r="F316" s="12" t="n">
        <v>6.431</v>
      </c>
      <c r="G316" s="12" t="n">
        <v>14.7</v>
      </c>
      <c r="H316" s="12" t="n">
        <v>5.4159</v>
      </c>
      <c r="I316" s="12" t="n">
        <v>5</v>
      </c>
      <c r="J316" s="12" t="n">
        <v>287</v>
      </c>
      <c r="K316" s="12" t="n">
        <v>19.6</v>
      </c>
      <c r="L316" s="12" t="n">
        <v>393.68</v>
      </c>
      <c r="M316" s="12" t="n">
        <v>5.08</v>
      </c>
      <c r="N316" s="12" t="n">
        <v>24.6</v>
      </c>
    </row>
    <row r="317" customFormat="false" ht="15" hidden="false" customHeight="false" outlineLevel="0" collapsed="false">
      <c r="A317" s="14" t="n">
        <v>0.30347</v>
      </c>
      <c r="B317" s="14" t="n">
        <v>0</v>
      </c>
      <c r="C317" s="14" t="n">
        <v>7.38</v>
      </c>
      <c r="D317" s="15" t="n">
        <v>0</v>
      </c>
      <c r="E317" s="14" t="n">
        <v>0.493</v>
      </c>
      <c r="F317" s="14" t="n">
        <v>6.312</v>
      </c>
      <c r="G317" s="14" t="n">
        <v>28.9</v>
      </c>
      <c r="H317" s="14" t="n">
        <v>5.4159</v>
      </c>
      <c r="I317" s="14" t="n">
        <v>5</v>
      </c>
      <c r="J317" s="14" t="n">
        <v>287</v>
      </c>
      <c r="K317" s="14" t="n">
        <v>19.6</v>
      </c>
      <c r="L317" s="14" t="n">
        <v>396.9</v>
      </c>
      <c r="M317" s="14" t="n">
        <v>6.15</v>
      </c>
      <c r="N317" s="14" t="n">
        <v>23</v>
      </c>
    </row>
    <row r="318" customFormat="false" ht="15" hidden="false" customHeight="false" outlineLevel="0" collapsed="false">
      <c r="A318" s="12" t="n">
        <v>0.24103</v>
      </c>
      <c r="B318" s="12" t="n">
        <v>0</v>
      </c>
      <c r="C318" s="12" t="n">
        <v>7.38</v>
      </c>
      <c r="D318" s="13" t="n">
        <v>0</v>
      </c>
      <c r="E318" s="12" t="n">
        <v>0.493</v>
      </c>
      <c r="F318" s="12" t="n">
        <v>6.083</v>
      </c>
      <c r="G318" s="12" t="n">
        <v>43.7</v>
      </c>
      <c r="H318" s="12" t="n">
        <v>5.4159</v>
      </c>
      <c r="I318" s="12" t="n">
        <v>5</v>
      </c>
      <c r="J318" s="12" t="n">
        <v>287</v>
      </c>
      <c r="K318" s="12" t="n">
        <v>19.6</v>
      </c>
      <c r="L318" s="12" t="n">
        <v>396.9</v>
      </c>
      <c r="M318" s="12" t="n">
        <v>12.79</v>
      </c>
      <c r="N318" s="12" t="n">
        <v>22.2</v>
      </c>
    </row>
    <row r="319" customFormat="false" ht="15" hidden="false" customHeight="false" outlineLevel="0" collapsed="false">
      <c r="A319" s="14" t="n">
        <v>0.06617</v>
      </c>
      <c r="B319" s="14" t="n">
        <v>0</v>
      </c>
      <c r="C319" s="14" t="n">
        <v>3.24</v>
      </c>
      <c r="D319" s="15" t="n">
        <v>0</v>
      </c>
      <c r="E319" s="14" t="n">
        <v>0.46</v>
      </c>
      <c r="F319" s="14" t="n">
        <v>5.868</v>
      </c>
      <c r="G319" s="14" t="n">
        <v>25.8</v>
      </c>
      <c r="H319" s="14" t="n">
        <v>5.2146</v>
      </c>
      <c r="I319" s="14" t="n">
        <v>4</v>
      </c>
      <c r="J319" s="14" t="n">
        <v>430</v>
      </c>
      <c r="K319" s="14" t="n">
        <v>16.9</v>
      </c>
      <c r="L319" s="14" t="n">
        <v>382.44</v>
      </c>
      <c r="M319" s="14" t="n">
        <v>9.97</v>
      </c>
      <c r="N319" s="14" t="n">
        <v>19.3</v>
      </c>
    </row>
    <row r="320" customFormat="false" ht="15" hidden="false" customHeight="false" outlineLevel="0" collapsed="false">
      <c r="A320" s="12" t="n">
        <v>0.06724</v>
      </c>
      <c r="B320" s="12" t="n">
        <v>0</v>
      </c>
      <c r="C320" s="12" t="n">
        <v>3.24</v>
      </c>
      <c r="D320" s="13" t="n">
        <v>0</v>
      </c>
      <c r="E320" s="12" t="n">
        <v>0.46</v>
      </c>
      <c r="F320" s="12" t="n">
        <v>6.333</v>
      </c>
      <c r="G320" s="12" t="n">
        <v>17.2</v>
      </c>
      <c r="H320" s="12" t="n">
        <v>5.2146</v>
      </c>
      <c r="I320" s="12" t="n">
        <v>4</v>
      </c>
      <c r="J320" s="12" t="n">
        <v>430</v>
      </c>
      <c r="K320" s="12" t="n">
        <v>16.9</v>
      </c>
      <c r="L320" s="12" t="n">
        <v>375.21</v>
      </c>
      <c r="M320" s="12" t="n">
        <v>7.34</v>
      </c>
      <c r="N320" s="12" t="n">
        <v>22.6</v>
      </c>
    </row>
    <row r="321" customFormat="false" ht="15" hidden="false" customHeight="false" outlineLevel="0" collapsed="false">
      <c r="A321" s="14" t="n">
        <v>0.04544</v>
      </c>
      <c r="B321" s="14" t="n">
        <v>0</v>
      </c>
      <c r="C321" s="14" t="n">
        <v>3.24</v>
      </c>
      <c r="D321" s="15" t="n">
        <v>0</v>
      </c>
      <c r="E321" s="14" t="n">
        <v>0.46</v>
      </c>
      <c r="F321" s="14" t="n">
        <v>6.144</v>
      </c>
      <c r="G321" s="14" t="n">
        <v>32.2</v>
      </c>
      <c r="H321" s="14" t="n">
        <v>5.8736</v>
      </c>
      <c r="I321" s="14" t="n">
        <v>4</v>
      </c>
      <c r="J321" s="14" t="n">
        <v>430</v>
      </c>
      <c r="K321" s="14" t="n">
        <v>16.9</v>
      </c>
      <c r="L321" s="14" t="n">
        <v>368.57</v>
      </c>
      <c r="M321" s="14" t="n">
        <v>9.09</v>
      </c>
      <c r="N321" s="14" t="n">
        <v>19.8</v>
      </c>
    </row>
    <row r="322" customFormat="false" ht="15" hidden="false" customHeight="false" outlineLevel="0" collapsed="false">
      <c r="A322" s="12" t="n">
        <v>0.05023</v>
      </c>
      <c r="B322" s="12" t="n">
        <v>35</v>
      </c>
      <c r="C322" s="12" t="n">
        <v>6.06</v>
      </c>
      <c r="D322" s="13" t="n">
        <v>0</v>
      </c>
      <c r="E322" s="12" t="n">
        <v>0.4379</v>
      </c>
      <c r="F322" s="12" t="n">
        <v>5.706</v>
      </c>
      <c r="G322" s="12" t="n">
        <v>28.4</v>
      </c>
      <c r="H322" s="12" t="n">
        <v>6.6407</v>
      </c>
      <c r="I322" s="12" t="n">
        <v>1</v>
      </c>
      <c r="J322" s="12" t="n">
        <v>304</v>
      </c>
      <c r="K322" s="12" t="n">
        <v>16.9</v>
      </c>
      <c r="L322" s="12" t="n">
        <v>394.02</v>
      </c>
      <c r="M322" s="12" t="n">
        <v>12.43</v>
      </c>
      <c r="N322" s="12" t="n">
        <v>17.1</v>
      </c>
    </row>
    <row r="323" customFormat="false" ht="15" hidden="false" customHeight="false" outlineLevel="0" collapsed="false">
      <c r="A323" s="14" t="n">
        <v>0.03466</v>
      </c>
      <c r="B323" s="14" t="n">
        <v>35</v>
      </c>
      <c r="C323" s="14" t="n">
        <v>6.06</v>
      </c>
      <c r="D323" s="15" t="n">
        <v>0</v>
      </c>
      <c r="E323" s="14" t="n">
        <v>0.4379</v>
      </c>
      <c r="F323" s="14" t="n">
        <v>6.031</v>
      </c>
      <c r="G323" s="14" t="n">
        <v>23.3</v>
      </c>
      <c r="H323" s="14" t="n">
        <v>6.6407</v>
      </c>
      <c r="I323" s="14" t="n">
        <v>1</v>
      </c>
      <c r="J323" s="14" t="n">
        <v>304</v>
      </c>
      <c r="K323" s="14" t="n">
        <v>16.9</v>
      </c>
      <c r="L323" s="14" t="n">
        <v>362.25</v>
      </c>
      <c r="M323" s="14" t="n">
        <v>7.83</v>
      </c>
      <c r="N323" s="14" t="n">
        <v>19.4</v>
      </c>
    </row>
    <row r="324" customFormat="false" ht="15" hidden="false" customHeight="false" outlineLevel="0" collapsed="false">
      <c r="A324" s="12" t="n">
        <v>0.05083</v>
      </c>
      <c r="B324" s="12" t="n">
        <v>0</v>
      </c>
      <c r="C324" s="12" t="n">
        <v>5.19</v>
      </c>
      <c r="D324" s="13" t="n">
        <v>0</v>
      </c>
      <c r="E324" s="12" t="n">
        <v>0.515</v>
      </c>
      <c r="F324" s="12" t="n">
        <v>6.316</v>
      </c>
      <c r="G324" s="12" t="n">
        <v>38.1</v>
      </c>
      <c r="H324" s="12" t="n">
        <v>6.4584</v>
      </c>
      <c r="I324" s="12" t="n">
        <v>5</v>
      </c>
      <c r="J324" s="12" t="n">
        <v>224</v>
      </c>
      <c r="K324" s="12" t="n">
        <v>20.2</v>
      </c>
      <c r="L324" s="12" t="n">
        <v>389.71</v>
      </c>
      <c r="M324" s="12" t="n">
        <v>5.68</v>
      </c>
      <c r="N324" s="12" t="n">
        <v>22.2</v>
      </c>
    </row>
    <row r="325" customFormat="false" ht="15" hidden="false" customHeight="false" outlineLevel="0" collapsed="false">
      <c r="A325" s="14" t="n">
        <v>0.03738</v>
      </c>
      <c r="B325" s="14" t="n">
        <v>0</v>
      </c>
      <c r="C325" s="14" t="n">
        <v>5.19</v>
      </c>
      <c r="D325" s="15" t="n">
        <v>0</v>
      </c>
      <c r="E325" s="14" t="n">
        <v>0.515</v>
      </c>
      <c r="F325" s="14" t="n">
        <v>6.31</v>
      </c>
      <c r="G325" s="14" t="n">
        <v>38.5</v>
      </c>
      <c r="H325" s="14" t="n">
        <v>6.4584</v>
      </c>
      <c r="I325" s="14" t="n">
        <v>5</v>
      </c>
      <c r="J325" s="14" t="n">
        <v>224</v>
      </c>
      <c r="K325" s="14" t="n">
        <v>20.2</v>
      </c>
      <c r="L325" s="14" t="n">
        <v>389.4</v>
      </c>
      <c r="M325" s="14" t="n">
        <v>6.75</v>
      </c>
      <c r="N325" s="14" t="n">
        <v>20.7</v>
      </c>
    </row>
    <row r="326" customFormat="false" ht="15" hidden="false" customHeight="false" outlineLevel="0" collapsed="false">
      <c r="A326" s="12" t="n">
        <v>0.03961</v>
      </c>
      <c r="B326" s="12" t="n">
        <v>0</v>
      </c>
      <c r="C326" s="12" t="n">
        <v>5.19</v>
      </c>
      <c r="D326" s="13" t="n">
        <v>0</v>
      </c>
      <c r="E326" s="12" t="n">
        <v>0.515</v>
      </c>
      <c r="F326" s="12" t="n">
        <v>6.037</v>
      </c>
      <c r="G326" s="12" t="n">
        <v>34.5</v>
      </c>
      <c r="H326" s="12" t="n">
        <v>5.9853</v>
      </c>
      <c r="I326" s="12" t="n">
        <v>5</v>
      </c>
      <c r="J326" s="12" t="n">
        <v>224</v>
      </c>
      <c r="K326" s="12" t="n">
        <v>20.2</v>
      </c>
      <c r="L326" s="12" t="n">
        <v>396.9</v>
      </c>
      <c r="M326" s="12" t="n">
        <v>8.01</v>
      </c>
      <c r="N326" s="12" t="n">
        <v>21.1</v>
      </c>
    </row>
    <row r="327" customFormat="false" ht="15" hidden="false" customHeight="false" outlineLevel="0" collapsed="false">
      <c r="A327" s="14" t="n">
        <v>0.03427</v>
      </c>
      <c r="B327" s="14" t="n">
        <v>0</v>
      </c>
      <c r="C327" s="14" t="n">
        <v>5.19</v>
      </c>
      <c r="D327" s="15" t="n">
        <v>0</v>
      </c>
      <c r="E327" s="14" t="n">
        <v>0.515</v>
      </c>
      <c r="F327" s="14" t="n">
        <v>5.869</v>
      </c>
      <c r="G327" s="14" t="n">
        <v>46.3</v>
      </c>
      <c r="H327" s="14" t="n">
        <v>5.2311</v>
      </c>
      <c r="I327" s="14" t="n">
        <v>5</v>
      </c>
      <c r="J327" s="14" t="n">
        <v>224</v>
      </c>
      <c r="K327" s="14" t="n">
        <v>20.2</v>
      </c>
      <c r="L327" s="14" t="n">
        <v>396.9</v>
      </c>
      <c r="M327" s="14" t="n">
        <v>9.8</v>
      </c>
      <c r="N327" s="14" t="n">
        <v>19.5</v>
      </c>
    </row>
    <row r="328" customFormat="false" ht="15" hidden="false" customHeight="false" outlineLevel="0" collapsed="false">
      <c r="A328" s="12" t="n">
        <v>0.03041</v>
      </c>
      <c r="B328" s="12" t="n">
        <v>0</v>
      </c>
      <c r="C328" s="12" t="n">
        <v>5.19</v>
      </c>
      <c r="D328" s="13" t="n">
        <v>0</v>
      </c>
      <c r="E328" s="12" t="n">
        <v>0.515</v>
      </c>
      <c r="F328" s="12" t="n">
        <v>5.895</v>
      </c>
      <c r="G328" s="12" t="n">
        <v>59.6</v>
      </c>
      <c r="H328" s="12" t="n">
        <v>5.615</v>
      </c>
      <c r="I328" s="12" t="n">
        <v>5</v>
      </c>
      <c r="J328" s="12" t="n">
        <v>224</v>
      </c>
      <c r="K328" s="12" t="n">
        <v>20.2</v>
      </c>
      <c r="L328" s="12" t="n">
        <v>394.81</v>
      </c>
      <c r="M328" s="12" t="n">
        <v>10.56</v>
      </c>
      <c r="N328" s="12" t="n">
        <v>18.5</v>
      </c>
    </row>
    <row r="329" customFormat="false" ht="15" hidden="false" customHeight="false" outlineLevel="0" collapsed="false">
      <c r="A329" s="14" t="n">
        <v>0.03306</v>
      </c>
      <c r="B329" s="14" t="n">
        <v>0</v>
      </c>
      <c r="C329" s="14" t="n">
        <v>5.19</v>
      </c>
      <c r="D329" s="15" t="n">
        <v>0</v>
      </c>
      <c r="E329" s="14" t="n">
        <v>0.515</v>
      </c>
      <c r="F329" s="14" t="n">
        <v>6.059</v>
      </c>
      <c r="G329" s="14" t="n">
        <v>37.3</v>
      </c>
      <c r="H329" s="14" t="n">
        <v>4.8122</v>
      </c>
      <c r="I329" s="14" t="n">
        <v>5</v>
      </c>
      <c r="J329" s="14" t="n">
        <v>224</v>
      </c>
      <c r="K329" s="14" t="n">
        <v>20.2</v>
      </c>
      <c r="L329" s="14" t="n">
        <v>396.14</v>
      </c>
      <c r="M329" s="14" t="n">
        <v>8.51</v>
      </c>
      <c r="N329" s="14" t="n">
        <v>20.6</v>
      </c>
    </row>
    <row r="330" customFormat="false" ht="15" hidden="false" customHeight="false" outlineLevel="0" collapsed="false">
      <c r="A330" s="12" t="n">
        <v>0.05497</v>
      </c>
      <c r="B330" s="12" t="n">
        <v>0</v>
      </c>
      <c r="C330" s="12" t="n">
        <v>5.19</v>
      </c>
      <c r="D330" s="13" t="n">
        <v>0</v>
      </c>
      <c r="E330" s="12" t="n">
        <v>0.515</v>
      </c>
      <c r="F330" s="12" t="n">
        <v>5.985</v>
      </c>
      <c r="G330" s="12" t="n">
        <v>45.4</v>
      </c>
      <c r="H330" s="12" t="n">
        <v>4.8122</v>
      </c>
      <c r="I330" s="12" t="n">
        <v>5</v>
      </c>
      <c r="J330" s="12" t="n">
        <v>224</v>
      </c>
      <c r="K330" s="12" t="n">
        <v>20.2</v>
      </c>
      <c r="L330" s="12" t="n">
        <v>396.9</v>
      </c>
      <c r="M330" s="12" t="n">
        <v>9.74</v>
      </c>
      <c r="N330" s="12" t="n">
        <v>19</v>
      </c>
    </row>
    <row r="331" customFormat="false" ht="15" hidden="false" customHeight="false" outlineLevel="0" collapsed="false">
      <c r="A331" s="14" t="n">
        <v>0.06151</v>
      </c>
      <c r="B331" s="14" t="n">
        <v>0</v>
      </c>
      <c r="C331" s="14" t="n">
        <v>5.19</v>
      </c>
      <c r="D331" s="15" t="n">
        <v>0</v>
      </c>
      <c r="E331" s="14" t="n">
        <v>0.515</v>
      </c>
      <c r="F331" s="14" t="n">
        <v>5.968</v>
      </c>
      <c r="G331" s="14" t="n">
        <v>58.5</v>
      </c>
      <c r="H331" s="14" t="n">
        <v>4.8122</v>
      </c>
      <c r="I331" s="14" t="n">
        <v>5</v>
      </c>
      <c r="J331" s="14" t="n">
        <v>224</v>
      </c>
      <c r="K331" s="14" t="n">
        <v>20.2</v>
      </c>
      <c r="L331" s="14" t="n">
        <v>396.9</v>
      </c>
      <c r="M331" s="14" t="n">
        <v>9.29</v>
      </c>
      <c r="N331" s="14" t="n">
        <v>18.7</v>
      </c>
    </row>
    <row r="332" customFormat="false" ht="15" hidden="false" customHeight="false" outlineLevel="0" collapsed="false">
      <c r="A332" s="12" t="n">
        <v>0.01301</v>
      </c>
      <c r="B332" s="12" t="n">
        <v>35</v>
      </c>
      <c r="C332" s="12" t="n">
        <v>1.52</v>
      </c>
      <c r="D332" s="13" t="n">
        <v>0</v>
      </c>
      <c r="E332" s="12" t="n">
        <v>0.442</v>
      </c>
      <c r="F332" s="12" t="n">
        <v>7.241</v>
      </c>
      <c r="G332" s="12" t="n">
        <v>49.3</v>
      </c>
      <c r="H332" s="12" t="n">
        <v>7.0379</v>
      </c>
      <c r="I332" s="12" t="n">
        <v>1</v>
      </c>
      <c r="J332" s="12" t="n">
        <v>284</v>
      </c>
      <c r="K332" s="12" t="n">
        <v>15.5</v>
      </c>
      <c r="L332" s="12" t="n">
        <v>394.74</v>
      </c>
      <c r="M332" s="12" t="n">
        <v>5.49</v>
      </c>
      <c r="N332" s="12" t="n">
        <v>32.7</v>
      </c>
    </row>
    <row r="333" customFormat="false" ht="15" hidden="false" customHeight="false" outlineLevel="0" collapsed="false">
      <c r="A333" s="14" t="n">
        <v>0.02498</v>
      </c>
      <c r="B333" s="14" t="n">
        <v>0</v>
      </c>
      <c r="C333" s="14" t="n">
        <v>1.89</v>
      </c>
      <c r="D333" s="15" t="n">
        <v>0</v>
      </c>
      <c r="E333" s="14" t="n">
        <v>0.518</v>
      </c>
      <c r="F333" s="14" t="n">
        <v>6.54</v>
      </c>
      <c r="G333" s="14" t="n">
        <v>59.7</v>
      </c>
      <c r="H333" s="14" t="n">
        <v>6.2669</v>
      </c>
      <c r="I333" s="14" t="n">
        <v>1</v>
      </c>
      <c r="J333" s="14" t="n">
        <v>422</v>
      </c>
      <c r="K333" s="14" t="n">
        <v>15.9</v>
      </c>
      <c r="L333" s="14" t="n">
        <v>389.96</v>
      </c>
      <c r="M333" s="14" t="n">
        <v>8.65</v>
      </c>
      <c r="N333" s="14" t="n">
        <v>16.5</v>
      </c>
    </row>
    <row r="334" customFormat="false" ht="15" hidden="false" customHeight="false" outlineLevel="0" collapsed="false">
      <c r="A334" s="12" t="n">
        <v>0.02543</v>
      </c>
      <c r="B334" s="12" t="n">
        <v>55</v>
      </c>
      <c r="C334" s="12" t="n">
        <v>3.78</v>
      </c>
      <c r="D334" s="13" t="n">
        <v>0</v>
      </c>
      <c r="E334" s="12" t="n">
        <v>0.484</v>
      </c>
      <c r="F334" s="12" t="n">
        <v>6.696</v>
      </c>
      <c r="G334" s="12" t="n">
        <v>56.4</v>
      </c>
      <c r="H334" s="12" t="n">
        <v>5.7321</v>
      </c>
      <c r="I334" s="12" t="n">
        <v>5</v>
      </c>
      <c r="J334" s="12" t="n">
        <v>370</v>
      </c>
      <c r="K334" s="12" t="n">
        <v>17.6</v>
      </c>
      <c r="L334" s="12" t="n">
        <v>396.9</v>
      </c>
      <c r="M334" s="12" t="n">
        <v>7.18</v>
      </c>
      <c r="N334" s="12" t="n">
        <v>23.9</v>
      </c>
    </row>
    <row r="335" customFormat="false" ht="15" hidden="false" customHeight="false" outlineLevel="0" collapsed="false">
      <c r="A335" s="14" t="n">
        <v>0.03049</v>
      </c>
      <c r="B335" s="14" t="n">
        <v>55</v>
      </c>
      <c r="C335" s="14" t="n">
        <v>3.78</v>
      </c>
      <c r="D335" s="15" t="n">
        <v>0</v>
      </c>
      <c r="E335" s="14" t="n">
        <v>0.484</v>
      </c>
      <c r="F335" s="14" t="n">
        <v>6.874</v>
      </c>
      <c r="G335" s="14" t="n">
        <v>28.1</v>
      </c>
      <c r="H335" s="14" t="n">
        <v>6.4654</v>
      </c>
      <c r="I335" s="14" t="n">
        <v>5</v>
      </c>
      <c r="J335" s="14" t="n">
        <v>370</v>
      </c>
      <c r="K335" s="14" t="n">
        <v>17.6</v>
      </c>
      <c r="L335" s="14" t="n">
        <v>387.97</v>
      </c>
      <c r="M335" s="14" t="n">
        <v>4.61</v>
      </c>
      <c r="N335" s="14" t="n">
        <v>31.2</v>
      </c>
    </row>
    <row r="336" customFormat="false" ht="15" hidden="false" customHeight="false" outlineLevel="0" collapsed="false">
      <c r="A336" s="12" t="n">
        <v>0.03113</v>
      </c>
      <c r="B336" s="12" t="n">
        <v>0</v>
      </c>
      <c r="C336" s="12" t="n">
        <v>4.39</v>
      </c>
      <c r="D336" s="13" t="n">
        <v>0</v>
      </c>
      <c r="E336" s="12" t="n">
        <v>0.442</v>
      </c>
      <c r="F336" s="12" t="n">
        <v>6.014</v>
      </c>
      <c r="G336" s="12" t="n">
        <v>48.5</v>
      </c>
      <c r="H336" s="12" t="n">
        <v>8.0136</v>
      </c>
      <c r="I336" s="12" t="n">
        <v>3</v>
      </c>
      <c r="J336" s="12" t="n">
        <v>352</v>
      </c>
      <c r="K336" s="12" t="n">
        <v>18.8</v>
      </c>
      <c r="L336" s="12" t="n">
        <v>385.64</v>
      </c>
      <c r="M336" s="12" t="n">
        <v>10.53</v>
      </c>
      <c r="N336" s="12" t="n">
        <v>17.5</v>
      </c>
    </row>
    <row r="337" customFormat="false" ht="15" hidden="false" customHeight="false" outlineLevel="0" collapsed="false">
      <c r="A337" s="14" t="n">
        <v>0.06162</v>
      </c>
      <c r="B337" s="14" t="n">
        <v>0</v>
      </c>
      <c r="C337" s="14" t="n">
        <v>4.39</v>
      </c>
      <c r="D337" s="15" t="n">
        <v>0</v>
      </c>
      <c r="E337" s="14" t="n">
        <v>0.442</v>
      </c>
      <c r="F337" s="14" t="n">
        <v>5.898</v>
      </c>
      <c r="G337" s="14" t="n">
        <v>52.3</v>
      </c>
      <c r="H337" s="14" t="n">
        <v>8.0136</v>
      </c>
      <c r="I337" s="14" t="n">
        <v>3</v>
      </c>
      <c r="J337" s="14" t="n">
        <v>352</v>
      </c>
      <c r="K337" s="14" t="n">
        <v>18.8</v>
      </c>
      <c r="L337" s="14" t="n">
        <v>364.61</v>
      </c>
      <c r="M337" s="14" t="n">
        <v>12.67</v>
      </c>
      <c r="N337" s="14" t="n">
        <v>17.2</v>
      </c>
    </row>
    <row r="338" customFormat="false" ht="15" hidden="false" customHeight="false" outlineLevel="0" collapsed="false">
      <c r="A338" s="12" t="n">
        <v>0.0187</v>
      </c>
      <c r="B338" s="12" t="n">
        <v>85</v>
      </c>
      <c r="C338" s="12" t="n">
        <v>4.15</v>
      </c>
      <c r="D338" s="13" t="n">
        <v>0</v>
      </c>
      <c r="E338" s="12" t="n">
        <v>0.429</v>
      </c>
      <c r="F338" s="12" t="n">
        <v>6.516</v>
      </c>
      <c r="G338" s="12" t="n">
        <v>27.7</v>
      </c>
      <c r="H338" s="12" t="n">
        <v>8.5353</v>
      </c>
      <c r="I338" s="12" t="n">
        <v>4</v>
      </c>
      <c r="J338" s="12" t="n">
        <v>351</v>
      </c>
      <c r="K338" s="12" t="n">
        <v>17.9</v>
      </c>
      <c r="L338" s="12" t="n">
        <v>392.43</v>
      </c>
      <c r="M338" s="12" t="n">
        <v>6.36</v>
      </c>
      <c r="N338" s="12" t="n">
        <v>23.1</v>
      </c>
    </row>
    <row r="339" customFormat="false" ht="15" hidden="false" customHeight="false" outlineLevel="0" collapsed="false">
      <c r="A339" s="14" t="n">
        <v>0.01501</v>
      </c>
      <c r="B339" s="14" t="n">
        <v>80</v>
      </c>
      <c r="C339" s="14" t="n">
        <v>2.01</v>
      </c>
      <c r="D339" s="15" t="n">
        <v>0</v>
      </c>
      <c r="E339" s="14" t="n">
        <v>0.435</v>
      </c>
      <c r="F339" s="14" t="n">
        <v>6.635</v>
      </c>
      <c r="G339" s="14" t="n">
        <v>29.7</v>
      </c>
      <c r="H339" s="14" t="n">
        <v>8.344</v>
      </c>
      <c r="I339" s="14" t="n">
        <v>4</v>
      </c>
      <c r="J339" s="14" t="n">
        <v>280</v>
      </c>
      <c r="K339" s="14" t="n">
        <v>17</v>
      </c>
      <c r="L339" s="14" t="n">
        <v>390.94</v>
      </c>
      <c r="M339" s="14" t="n">
        <v>5.99</v>
      </c>
      <c r="N339" s="14" t="n">
        <v>24.5</v>
      </c>
    </row>
    <row r="340" customFormat="false" ht="15" hidden="false" customHeight="false" outlineLevel="0" collapsed="false">
      <c r="A340" s="12" t="n">
        <v>0.02899</v>
      </c>
      <c r="B340" s="12" t="n">
        <v>40</v>
      </c>
      <c r="C340" s="12" t="n">
        <v>1.25</v>
      </c>
      <c r="D340" s="13" t="n">
        <v>0</v>
      </c>
      <c r="E340" s="12" t="n">
        <v>0.429</v>
      </c>
      <c r="F340" s="12" t="n">
        <v>6.939</v>
      </c>
      <c r="G340" s="12" t="n">
        <v>34.5</v>
      </c>
      <c r="H340" s="12" t="n">
        <v>8.7921</v>
      </c>
      <c r="I340" s="12" t="n">
        <v>1</v>
      </c>
      <c r="J340" s="12" t="n">
        <v>335</v>
      </c>
      <c r="K340" s="12" t="n">
        <v>19.7</v>
      </c>
      <c r="L340" s="12" t="n">
        <v>389.85</v>
      </c>
      <c r="M340" s="12" t="n">
        <v>5.89</v>
      </c>
      <c r="N340" s="12" t="n">
        <v>26.6</v>
      </c>
    </row>
    <row r="341" customFormat="false" ht="15" hidden="false" customHeight="false" outlineLevel="0" collapsed="false">
      <c r="A341" s="14" t="n">
        <v>0.06211</v>
      </c>
      <c r="B341" s="14" t="n">
        <v>40</v>
      </c>
      <c r="C341" s="14" t="n">
        <v>1.25</v>
      </c>
      <c r="D341" s="15" t="n">
        <v>0</v>
      </c>
      <c r="E341" s="14" t="n">
        <v>0.429</v>
      </c>
      <c r="F341" s="14" t="n">
        <v>6.49</v>
      </c>
      <c r="G341" s="14" t="n">
        <v>44.4</v>
      </c>
      <c r="H341" s="14" t="n">
        <v>8.7921</v>
      </c>
      <c r="I341" s="14" t="n">
        <v>1</v>
      </c>
      <c r="J341" s="14" t="n">
        <v>335</v>
      </c>
      <c r="K341" s="14" t="n">
        <v>19.7</v>
      </c>
      <c r="L341" s="14" t="n">
        <v>396.9</v>
      </c>
      <c r="M341" s="14" t="n">
        <v>5.98</v>
      </c>
      <c r="N341" s="14" t="n">
        <v>22.9</v>
      </c>
    </row>
    <row r="342" customFormat="false" ht="15" hidden="false" customHeight="false" outlineLevel="0" collapsed="false">
      <c r="A342" s="12" t="n">
        <v>0.0795</v>
      </c>
      <c r="B342" s="12" t="n">
        <v>60</v>
      </c>
      <c r="C342" s="12" t="n">
        <v>1.69</v>
      </c>
      <c r="D342" s="13" t="n">
        <v>0</v>
      </c>
      <c r="E342" s="12" t="n">
        <v>0.411</v>
      </c>
      <c r="F342" s="12" t="n">
        <v>6.579</v>
      </c>
      <c r="G342" s="12" t="n">
        <v>35.9</v>
      </c>
      <c r="H342" s="12" t="n">
        <v>10.7103</v>
      </c>
      <c r="I342" s="12" t="n">
        <v>4</v>
      </c>
      <c r="J342" s="12" t="n">
        <v>411</v>
      </c>
      <c r="K342" s="12" t="n">
        <v>18.3</v>
      </c>
      <c r="L342" s="12" t="n">
        <v>370.78</v>
      </c>
      <c r="M342" s="12" t="n">
        <v>5.49</v>
      </c>
      <c r="N342" s="12" t="n">
        <v>24.1</v>
      </c>
    </row>
    <row r="343" customFormat="false" ht="15" hidden="false" customHeight="false" outlineLevel="0" collapsed="false">
      <c r="A343" s="14" t="n">
        <v>0.07244</v>
      </c>
      <c r="B343" s="14" t="n">
        <v>60</v>
      </c>
      <c r="C343" s="14" t="n">
        <v>1.69</v>
      </c>
      <c r="D343" s="15" t="n">
        <v>0</v>
      </c>
      <c r="E343" s="14" t="n">
        <v>0.411</v>
      </c>
      <c r="F343" s="14" t="n">
        <v>5.884</v>
      </c>
      <c r="G343" s="14" t="n">
        <v>18.5</v>
      </c>
      <c r="H343" s="14" t="n">
        <v>10.7103</v>
      </c>
      <c r="I343" s="14" t="n">
        <v>4</v>
      </c>
      <c r="J343" s="14" t="n">
        <v>411</v>
      </c>
      <c r="K343" s="14" t="n">
        <v>18.3</v>
      </c>
      <c r="L343" s="14" t="n">
        <v>392.33</v>
      </c>
      <c r="M343" s="14" t="n">
        <v>7.79</v>
      </c>
      <c r="N343" s="14" t="n">
        <v>18.6</v>
      </c>
    </row>
    <row r="344" customFormat="false" ht="15" hidden="false" customHeight="false" outlineLevel="0" collapsed="false">
      <c r="A344" s="12" t="n">
        <v>0.01709</v>
      </c>
      <c r="B344" s="12" t="n">
        <v>90</v>
      </c>
      <c r="C344" s="12" t="n">
        <v>2.02</v>
      </c>
      <c r="D344" s="13" t="n">
        <v>0</v>
      </c>
      <c r="E344" s="12" t="n">
        <v>0.41</v>
      </c>
      <c r="F344" s="12" t="n">
        <v>6.728</v>
      </c>
      <c r="G344" s="12" t="n">
        <v>36.1</v>
      </c>
      <c r="H344" s="12" t="n">
        <v>12.1265</v>
      </c>
      <c r="I344" s="12" t="n">
        <v>5</v>
      </c>
      <c r="J344" s="12" t="n">
        <v>187</v>
      </c>
      <c r="K344" s="12" t="n">
        <v>17</v>
      </c>
      <c r="L344" s="12" t="n">
        <v>384.46</v>
      </c>
      <c r="M344" s="12" t="n">
        <v>4.5</v>
      </c>
      <c r="N344" s="12" t="n">
        <v>30.1</v>
      </c>
    </row>
    <row r="345" customFormat="false" ht="15" hidden="false" customHeight="false" outlineLevel="0" collapsed="false">
      <c r="A345" s="14" t="n">
        <v>0.04301</v>
      </c>
      <c r="B345" s="14" t="n">
        <v>80</v>
      </c>
      <c r="C345" s="14" t="n">
        <v>1.91</v>
      </c>
      <c r="D345" s="15" t="n">
        <v>0</v>
      </c>
      <c r="E345" s="14" t="n">
        <v>0.413</v>
      </c>
      <c r="F345" s="14" t="n">
        <v>5.663</v>
      </c>
      <c r="G345" s="14" t="n">
        <v>21.9</v>
      </c>
      <c r="H345" s="14" t="n">
        <v>10.5857</v>
      </c>
      <c r="I345" s="14" t="n">
        <v>4</v>
      </c>
      <c r="J345" s="14" t="n">
        <v>334</v>
      </c>
      <c r="K345" s="14" t="n">
        <v>22</v>
      </c>
      <c r="L345" s="14" t="n">
        <v>382.8</v>
      </c>
      <c r="M345" s="14" t="n">
        <v>8.05</v>
      </c>
      <c r="N345" s="14" t="n">
        <v>18.2</v>
      </c>
    </row>
    <row r="346" customFormat="false" ht="15" hidden="false" customHeight="false" outlineLevel="0" collapsed="false">
      <c r="A346" s="12" t="n">
        <v>0.10659</v>
      </c>
      <c r="B346" s="12" t="n">
        <v>80</v>
      </c>
      <c r="C346" s="12" t="n">
        <v>1.91</v>
      </c>
      <c r="D346" s="13" t="n">
        <v>0</v>
      </c>
      <c r="E346" s="12" t="n">
        <v>0.413</v>
      </c>
      <c r="F346" s="12" t="n">
        <v>5.936</v>
      </c>
      <c r="G346" s="12" t="n">
        <v>19.5</v>
      </c>
      <c r="H346" s="12" t="n">
        <v>10.5857</v>
      </c>
      <c r="I346" s="12" t="n">
        <v>4</v>
      </c>
      <c r="J346" s="12" t="n">
        <v>334</v>
      </c>
      <c r="K346" s="12" t="n">
        <v>22</v>
      </c>
      <c r="L346" s="12" t="n">
        <v>376.04</v>
      </c>
      <c r="M346" s="12" t="n">
        <v>5.57</v>
      </c>
      <c r="N346" s="12" t="n">
        <v>20.6</v>
      </c>
    </row>
    <row r="347" customFormat="false" ht="15" hidden="false" customHeight="false" outlineLevel="0" collapsed="false">
      <c r="A347" s="14" t="n">
        <v>8.98296</v>
      </c>
      <c r="B347" s="14" t="n">
        <v>0</v>
      </c>
      <c r="C347" s="14" t="n">
        <v>18.1</v>
      </c>
      <c r="D347" s="15" t="n">
        <v>1</v>
      </c>
      <c r="E347" s="14" t="n">
        <v>0.77</v>
      </c>
      <c r="F347" s="14" t="n">
        <v>6.212</v>
      </c>
      <c r="G347" s="14" t="n">
        <v>97.4</v>
      </c>
      <c r="H347" s="14" t="n">
        <v>2.1222</v>
      </c>
      <c r="I347" s="14" t="n">
        <v>24</v>
      </c>
      <c r="J347" s="14" t="n">
        <v>666</v>
      </c>
      <c r="K347" s="14" t="n">
        <v>20.2</v>
      </c>
      <c r="L347" s="14" t="n">
        <v>377.73</v>
      </c>
      <c r="M347" s="14" t="n">
        <v>17.6</v>
      </c>
      <c r="N347" s="14" t="n">
        <v>17.8</v>
      </c>
    </row>
    <row r="348" customFormat="false" ht="15" hidden="false" customHeight="false" outlineLevel="0" collapsed="false">
      <c r="A348" s="12" t="n">
        <v>3.8497</v>
      </c>
      <c r="B348" s="12" t="n">
        <v>0</v>
      </c>
      <c r="C348" s="12" t="n">
        <v>18.1</v>
      </c>
      <c r="D348" s="13" t="n">
        <v>1</v>
      </c>
      <c r="E348" s="12" t="n">
        <v>0.77</v>
      </c>
      <c r="F348" s="12" t="n">
        <v>6.395</v>
      </c>
      <c r="G348" s="12" t="n">
        <v>91</v>
      </c>
      <c r="H348" s="12" t="n">
        <v>2.5052</v>
      </c>
      <c r="I348" s="12" t="n">
        <v>24</v>
      </c>
      <c r="J348" s="12" t="n">
        <v>666</v>
      </c>
      <c r="K348" s="12" t="n">
        <v>20.2</v>
      </c>
      <c r="L348" s="12" t="n">
        <v>391.34</v>
      </c>
      <c r="M348" s="12" t="n">
        <v>13.27</v>
      </c>
      <c r="N348" s="12" t="n">
        <v>21.7</v>
      </c>
    </row>
    <row r="349" customFormat="false" ht="15" hidden="false" customHeight="false" outlineLevel="0" collapsed="false">
      <c r="A349" s="14" t="n">
        <v>5.20177</v>
      </c>
      <c r="B349" s="14" t="n">
        <v>0</v>
      </c>
      <c r="C349" s="14" t="n">
        <v>18.1</v>
      </c>
      <c r="D349" s="15" t="n">
        <v>1</v>
      </c>
      <c r="E349" s="14" t="n">
        <v>0.77</v>
      </c>
      <c r="F349" s="14" t="n">
        <v>6.127</v>
      </c>
      <c r="G349" s="14" t="n">
        <v>83.4</v>
      </c>
      <c r="H349" s="14" t="n">
        <v>2.7227</v>
      </c>
      <c r="I349" s="14" t="n">
        <v>24</v>
      </c>
      <c r="J349" s="14" t="n">
        <v>666</v>
      </c>
      <c r="K349" s="14" t="n">
        <v>20.2</v>
      </c>
      <c r="L349" s="14" t="n">
        <v>395.43</v>
      </c>
      <c r="M349" s="14" t="n">
        <v>11.48</v>
      </c>
      <c r="N349" s="14" t="n">
        <v>22.7</v>
      </c>
    </row>
    <row r="350" customFormat="false" ht="15" hidden="false" customHeight="false" outlineLevel="0" collapsed="false">
      <c r="A350" s="12" t="n">
        <v>4.26131</v>
      </c>
      <c r="B350" s="12" t="n">
        <v>0</v>
      </c>
      <c r="C350" s="12" t="n">
        <v>18.1</v>
      </c>
      <c r="D350" s="13" t="n">
        <v>0</v>
      </c>
      <c r="E350" s="12" t="n">
        <v>0.77</v>
      </c>
      <c r="F350" s="12" t="n">
        <v>6.112</v>
      </c>
      <c r="G350" s="12" t="n">
        <v>81.3</v>
      </c>
      <c r="H350" s="12" t="n">
        <v>2.5091</v>
      </c>
      <c r="I350" s="12" t="n">
        <v>24</v>
      </c>
      <c r="J350" s="12" t="n">
        <v>666</v>
      </c>
      <c r="K350" s="12" t="n">
        <v>20.2</v>
      </c>
      <c r="L350" s="12" t="n">
        <v>390.74</v>
      </c>
      <c r="M350" s="12" t="n">
        <v>12.67</v>
      </c>
      <c r="N350" s="12" t="n">
        <v>22.6</v>
      </c>
    </row>
    <row r="351" customFormat="false" ht="15" hidden="false" customHeight="false" outlineLevel="0" collapsed="false">
      <c r="A351" s="14" t="n">
        <v>4.54192</v>
      </c>
      <c r="B351" s="14" t="n">
        <v>0</v>
      </c>
      <c r="C351" s="14" t="n">
        <v>18.1</v>
      </c>
      <c r="D351" s="15" t="n">
        <v>0</v>
      </c>
      <c r="E351" s="14" t="n">
        <v>0.77</v>
      </c>
      <c r="F351" s="14" t="n">
        <v>6.398</v>
      </c>
      <c r="G351" s="14" t="n">
        <v>88</v>
      </c>
      <c r="H351" s="14" t="n">
        <v>2.5182</v>
      </c>
      <c r="I351" s="14" t="n">
        <v>24</v>
      </c>
      <c r="J351" s="14" t="n">
        <v>666</v>
      </c>
      <c r="K351" s="14" t="n">
        <v>20.2</v>
      </c>
      <c r="L351" s="14" t="n">
        <v>374.56</v>
      </c>
      <c r="M351" s="14" t="n">
        <v>7.79</v>
      </c>
      <c r="N351" s="14" t="n">
        <v>25</v>
      </c>
    </row>
    <row r="352" customFormat="false" ht="15" hidden="false" customHeight="false" outlineLevel="0" collapsed="false">
      <c r="A352" s="12" t="n">
        <v>3.83684</v>
      </c>
      <c r="B352" s="12" t="n">
        <v>0</v>
      </c>
      <c r="C352" s="12" t="n">
        <v>18.1</v>
      </c>
      <c r="D352" s="13" t="n">
        <v>0</v>
      </c>
      <c r="E352" s="12" t="n">
        <v>0.77</v>
      </c>
      <c r="F352" s="12" t="n">
        <v>6.251</v>
      </c>
      <c r="G352" s="12" t="n">
        <v>91.1</v>
      </c>
      <c r="H352" s="12" t="n">
        <v>2.2955</v>
      </c>
      <c r="I352" s="12" t="n">
        <v>24</v>
      </c>
      <c r="J352" s="12" t="n">
        <v>666</v>
      </c>
      <c r="K352" s="12" t="n">
        <v>20.2</v>
      </c>
      <c r="L352" s="12" t="n">
        <v>350.65</v>
      </c>
      <c r="M352" s="12" t="n">
        <v>14.19</v>
      </c>
      <c r="N352" s="12" t="n">
        <v>19.9</v>
      </c>
    </row>
    <row r="353" customFormat="false" ht="15" hidden="false" customHeight="false" outlineLevel="0" collapsed="false">
      <c r="A353" s="14" t="n">
        <v>3.67822</v>
      </c>
      <c r="B353" s="14" t="n">
        <v>0</v>
      </c>
      <c r="C353" s="14" t="n">
        <v>18.1</v>
      </c>
      <c r="D353" s="15" t="n">
        <v>0</v>
      </c>
      <c r="E353" s="14" t="n">
        <v>0.77</v>
      </c>
      <c r="F353" s="14" t="n">
        <v>5.362</v>
      </c>
      <c r="G353" s="14" t="n">
        <v>96.2</v>
      </c>
      <c r="H353" s="14" t="n">
        <v>2.1036</v>
      </c>
      <c r="I353" s="14" t="n">
        <v>24</v>
      </c>
      <c r="J353" s="14" t="n">
        <v>666</v>
      </c>
      <c r="K353" s="14" t="n">
        <v>20.2</v>
      </c>
      <c r="L353" s="14" t="n">
        <v>380.79</v>
      </c>
      <c r="M353" s="14" t="n">
        <v>10.19</v>
      </c>
      <c r="N353" s="14" t="n">
        <v>20.8</v>
      </c>
    </row>
    <row r="354" customFormat="false" ht="15" hidden="false" customHeight="false" outlineLevel="0" collapsed="false">
      <c r="A354" s="12" t="n">
        <v>4.22239</v>
      </c>
      <c r="B354" s="12" t="n">
        <v>0</v>
      </c>
      <c r="C354" s="12" t="n">
        <v>18.1</v>
      </c>
      <c r="D354" s="13" t="n">
        <v>1</v>
      </c>
      <c r="E354" s="12" t="n">
        <v>0.77</v>
      </c>
      <c r="F354" s="12" t="n">
        <v>5.803</v>
      </c>
      <c r="G354" s="12" t="n">
        <v>89</v>
      </c>
      <c r="H354" s="12" t="n">
        <v>1.9047</v>
      </c>
      <c r="I354" s="12" t="n">
        <v>24</v>
      </c>
      <c r="J354" s="12" t="n">
        <v>666</v>
      </c>
      <c r="K354" s="12" t="n">
        <v>20.2</v>
      </c>
      <c r="L354" s="12" t="n">
        <v>353.04</v>
      </c>
      <c r="M354" s="12" t="n">
        <v>14.64</v>
      </c>
      <c r="N354" s="12" t="n">
        <v>16.8</v>
      </c>
    </row>
    <row r="355" customFormat="false" ht="15" hidden="false" customHeight="false" outlineLevel="0" collapsed="false">
      <c r="A355" s="14" t="n">
        <v>3.47428</v>
      </c>
      <c r="B355" s="14" t="n">
        <v>0</v>
      </c>
      <c r="C355" s="14" t="n">
        <v>18.1</v>
      </c>
      <c r="D355" s="15" t="n">
        <v>1</v>
      </c>
      <c r="E355" s="14" t="n">
        <v>0.718</v>
      </c>
      <c r="F355" s="14" t="n">
        <v>8.78</v>
      </c>
      <c r="G355" s="14" t="n">
        <v>82.9</v>
      </c>
      <c r="H355" s="14" t="n">
        <v>1.9047</v>
      </c>
      <c r="I355" s="14" t="n">
        <v>24</v>
      </c>
      <c r="J355" s="14" t="n">
        <v>666</v>
      </c>
      <c r="K355" s="14" t="n">
        <v>20.2</v>
      </c>
      <c r="L355" s="14" t="n">
        <v>354.55</v>
      </c>
      <c r="M355" s="14" t="n">
        <v>5.29</v>
      </c>
      <c r="N355" s="14" t="n">
        <v>21.9</v>
      </c>
    </row>
    <row r="356" customFormat="false" ht="15" hidden="false" customHeight="false" outlineLevel="0" collapsed="false">
      <c r="A356" s="12" t="n">
        <v>4.55587</v>
      </c>
      <c r="B356" s="12" t="n">
        <v>0</v>
      </c>
      <c r="C356" s="12" t="n">
        <v>18.1</v>
      </c>
      <c r="D356" s="13" t="n">
        <v>0</v>
      </c>
      <c r="E356" s="12" t="n">
        <v>0.718</v>
      </c>
      <c r="F356" s="12" t="n">
        <v>3.561</v>
      </c>
      <c r="G356" s="12" t="n">
        <v>87.9</v>
      </c>
      <c r="H356" s="12" t="n">
        <v>1.6132</v>
      </c>
      <c r="I356" s="12" t="n">
        <v>24</v>
      </c>
      <c r="J356" s="12" t="n">
        <v>666</v>
      </c>
      <c r="K356" s="12" t="n">
        <v>20.2</v>
      </c>
      <c r="L356" s="12" t="n">
        <v>354.7</v>
      </c>
      <c r="M356" s="12" t="n">
        <v>7.12</v>
      </c>
      <c r="N356" s="12" t="n">
        <v>27.5</v>
      </c>
    </row>
    <row r="357" customFormat="false" ht="15" hidden="false" customHeight="false" outlineLevel="0" collapsed="false">
      <c r="A357" s="14" t="n">
        <v>3.69695</v>
      </c>
      <c r="B357" s="14" t="n">
        <v>0</v>
      </c>
      <c r="C357" s="14" t="n">
        <v>18.1</v>
      </c>
      <c r="D357" s="15" t="n">
        <v>0</v>
      </c>
      <c r="E357" s="14" t="n">
        <v>0.718</v>
      </c>
      <c r="F357" s="14" t="n">
        <v>4.963</v>
      </c>
      <c r="G357" s="14" t="n">
        <v>91.4</v>
      </c>
      <c r="H357" s="14" t="n">
        <v>1.7523</v>
      </c>
      <c r="I357" s="14" t="n">
        <v>24</v>
      </c>
      <c r="J357" s="14" t="n">
        <v>666</v>
      </c>
      <c r="K357" s="14" t="n">
        <v>20.2</v>
      </c>
      <c r="L357" s="14" t="n">
        <v>316.03</v>
      </c>
      <c r="M357" s="14" t="n">
        <v>14</v>
      </c>
      <c r="N357" s="14" t="n">
        <v>21.9</v>
      </c>
    </row>
    <row r="358" customFormat="false" ht="15" hidden="false" customHeight="false" outlineLevel="0" collapsed="false">
      <c r="A358" s="12" t="n">
        <v>13.5222</v>
      </c>
      <c r="B358" s="12" t="n">
        <v>0</v>
      </c>
      <c r="C358" s="12" t="n">
        <v>18.1</v>
      </c>
      <c r="D358" s="13" t="n">
        <v>0</v>
      </c>
      <c r="E358" s="12" t="n">
        <v>0.631</v>
      </c>
      <c r="F358" s="12" t="n">
        <v>3.863</v>
      </c>
      <c r="G358" s="12" t="n">
        <v>100</v>
      </c>
      <c r="H358" s="12" t="n">
        <v>1.5106</v>
      </c>
      <c r="I358" s="12" t="n">
        <v>24</v>
      </c>
      <c r="J358" s="12" t="n">
        <v>666</v>
      </c>
      <c r="K358" s="12" t="n">
        <v>20.2</v>
      </c>
      <c r="L358" s="12" t="n">
        <v>131.42</v>
      </c>
      <c r="M358" s="12" t="n">
        <v>13.33</v>
      </c>
      <c r="N358" s="12" t="n">
        <v>23.1</v>
      </c>
    </row>
    <row r="359" customFormat="false" ht="15" hidden="false" customHeight="false" outlineLevel="0" collapsed="false">
      <c r="A359" s="14" t="n">
        <v>11.1081</v>
      </c>
      <c r="B359" s="14" t="n">
        <v>0</v>
      </c>
      <c r="C359" s="14" t="n">
        <v>18.1</v>
      </c>
      <c r="D359" s="15" t="n">
        <v>0</v>
      </c>
      <c r="E359" s="14" t="n">
        <v>0.668</v>
      </c>
      <c r="F359" s="14" t="n">
        <v>4.906</v>
      </c>
      <c r="G359" s="14" t="n">
        <v>100</v>
      </c>
      <c r="H359" s="14" t="n">
        <v>1.1742</v>
      </c>
      <c r="I359" s="14" t="n">
        <v>24</v>
      </c>
      <c r="J359" s="14" t="n">
        <v>666</v>
      </c>
      <c r="K359" s="14" t="n">
        <v>20.2</v>
      </c>
      <c r="L359" s="14" t="n">
        <v>396.9</v>
      </c>
      <c r="M359" s="14" t="n">
        <v>34.77</v>
      </c>
      <c r="N359" s="14" t="n">
        <v>13.8</v>
      </c>
    </row>
    <row r="360" customFormat="false" ht="15" hidden="false" customHeight="false" outlineLevel="0" collapsed="false">
      <c r="A360" s="12" t="n">
        <v>18.4982</v>
      </c>
      <c r="B360" s="12" t="n">
        <v>0</v>
      </c>
      <c r="C360" s="12" t="n">
        <v>18.1</v>
      </c>
      <c r="D360" s="13" t="n">
        <v>0</v>
      </c>
      <c r="E360" s="12" t="n">
        <v>0.668</v>
      </c>
      <c r="F360" s="12" t="n">
        <v>4.138</v>
      </c>
      <c r="G360" s="12" t="n">
        <v>100</v>
      </c>
      <c r="H360" s="12" t="n">
        <v>1.137</v>
      </c>
      <c r="I360" s="12" t="n">
        <v>24</v>
      </c>
      <c r="J360" s="12" t="n">
        <v>666</v>
      </c>
      <c r="K360" s="12" t="n">
        <v>20.2</v>
      </c>
      <c r="L360" s="12" t="n">
        <v>396.9</v>
      </c>
      <c r="M360" s="12" t="n">
        <v>37.97</v>
      </c>
      <c r="N360" s="12" t="n">
        <v>13.8</v>
      </c>
    </row>
    <row r="361" customFormat="false" ht="15" hidden="false" customHeight="false" outlineLevel="0" collapsed="false">
      <c r="A361" s="14" t="n">
        <v>19.6091</v>
      </c>
      <c r="B361" s="14" t="n">
        <v>0</v>
      </c>
      <c r="C361" s="14" t="n">
        <v>18.1</v>
      </c>
      <c r="D361" s="15" t="n">
        <v>0</v>
      </c>
      <c r="E361" s="14" t="n">
        <v>0.671</v>
      </c>
      <c r="F361" s="14" t="n">
        <v>7.313</v>
      </c>
      <c r="G361" s="14" t="n">
        <v>97.9</v>
      </c>
      <c r="H361" s="14" t="n">
        <v>1.3163</v>
      </c>
      <c r="I361" s="14" t="n">
        <v>24</v>
      </c>
      <c r="J361" s="14" t="n">
        <v>666</v>
      </c>
      <c r="K361" s="14" t="n">
        <v>20.2</v>
      </c>
      <c r="L361" s="14" t="n">
        <v>396.9</v>
      </c>
      <c r="M361" s="14" t="n">
        <v>13.44</v>
      </c>
      <c r="N361" s="14" t="n">
        <v>15</v>
      </c>
    </row>
    <row r="362" customFormat="false" ht="15" hidden="false" customHeight="false" outlineLevel="0" collapsed="false">
      <c r="A362" s="12" t="n">
        <v>15.288</v>
      </c>
      <c r="B362" s="12" t="n">
        <v>0</v>
      </c>
      <c r="C362" s="12" t="n">
        <v>18.1</v>
      </c>
      <c r="D362" s="13" t="n">
        <v>0</v>
      </c>
      <c r="E362" s="12" t="n">
        <v>0.671</v>
      </c>
      <c r="F362" s="12" t="n">
        <v>6.649</v>
      </c>
      <c r="G362" s="12" t="n">
        <v>93.3</v>
      </c>
      <c r="H362" s="12" t="n">
        <v>1.3449</v>
      </c>
      <c r="I362" s="12" t="n">
        <v>24</v>
      </c>
      <c r="J362" s="12" t="n">
        <v>666</v>
      </c>
      <c r="K362" s="12" t="n">
        <v>20.2</v>
      </c>
      <c r="L362" s="12" t="n">
        <v>363.02</v>
      </c>
      <c r="M362" s="12" t="n">
        <v>23.24</v>
      </c>
      <c r="N362" s="12" t="n">
        <v>13.9</v>
      </c>
    </row>
    <row r="363" customFormat="false" ht="15" hidden="false" customHeight="false" outlineLevel="0" collapsed="false">
      <c r="A363" s="14" t="n">
        <v>9.82349</v>
      </c>
      <c r="B363" s="14" t="n">
        <v>0</v>
      </c>
      <c r="C363" s="14" t="n">
        <v>18.1</v>
      </c>
      <c r="D363" s="15" t="n">
        <v>0</v>
      </c>
      <c r="E363" s="14" t="n">
        <v>0.671</v>
      </c>
      <c r="F363" s="14" t="n">
        <v>6.794</v>
      </c>
      <c r="G363" s="14" t="n">
        <v>98.8</v>
      </c>
      <c r="H363" s="14" t="n">
        <v>1.358</v>
      </c>
      <c r="I363" s="14" t="n">
        <v>24</v>
      </c>
      <c r="J363" s="14" t="n">
        <v>666</v>
      </c>
      <c r="K363" s="14" t="n">
        <v>20.2</v>
      </c>
      <c r="L363" s="14" t="n">
        <v>396.9</v>
      </c>
      <c r="M363" s="14" t="n">
        <v>21.24</v>
      </c>
      <c r="N363" s="14" t="n">
        <v>13.3</v>
      </c>
    </row>
    <row r="364" customFormat="false" ht="15" hidden="false" customHeight="false" outlineLevel="0" collapsed="false">
      <c r="A364" s="12" t="n">
        <v>23.6482</v>
      </c>
      <c r="B364" s="12" t="n">
        <v>0</v>
      </c>
      <c r="C364" s="12" t="n">
        <v>18.1</v>
      </c>
      <c r="D364" s="13" t="n">
        <v>0</v>
      </c>
      <c r="E364" s="12" t="n">
        <v>0.671</v>
      </c>
      <c r="F364" s="12" t="n">
        <v>6.38</v>
      </c>
      <c r="G364" s="12" t="n">
        <v>96.2</v>
      </c>
      <c r="H364" s="12" t="n">
        <v>1.3861</v>
      </c>
      <c r="I364" s="12" t="n">
        <v>24</v>
      </c>
      <c r="J364" s="12" t="n">
        <v>666</v>
      </c>
      <c r="K364" s="12" t="n">
        <v>20.2</v>
      </c>
      <c r="L364" s="12" t="n">
        <v>396.9</v>
      </c>
      <c r="M364" s="12" t="n">
        <v>23.69</v>
      </c>
      <c r="N364" s="12" t="n">
        <v>13.1</v>
      </c>
    </row>
    <row r="365" customFormat="false" ht="15" hidden="false" customHeight="false" outlineLevel="0" collapsed="false">
      <c r="A365" s="14" t="n">
        <v>17.8667</v>
      </c>
      <c r="B365" s="14" t="n">
        <v>0</v>
      </c>
      <c r="C365" s="14" t="n">
        <v>18.1</v>
      </c>
      <c r="D365" s="15" t="n">
        <v>0</v>
      </c>
      <c r="E365" s="14" t="n">
        <v>0.671</v>
      </c>
      <c r="F365" s="14" t="n">
        <v>6.223</v>
      </c>
      <c r="G365" s="14" t="n">
        <v>100</v>
      </c>
      <c r="H365" s="14" t="n">
        <v>1.3861</v>
      </c>
      <c r="I365" s="14" t="n">
        <v>24</v>
      </c>
      <c r="J365" s="14" t="n">
        <v>666</v>
      </c>
      <c r="K365" s="14" t="n">
        <v>20.2</v>
      </c>
      <c r="L365" s="14" t="n">
        <v>393.74</v>
      </c>
      <c r="M365" s="14" t="n">
        <v>21.78</v>
      </c>
      <c r="N365" s="14" t="n">
        <v>10.2</v>
      </c>
    </row>
    <row r="366" customFormat="false" ht="15" hidden="false" customHeight="false" outlineLevel="0" collapsed="false">
      <c r="A366" s="12" t="n">
        <v>88.9762</v>
      </c>
      <c r="B366" s="12" t="n">
        <v>0</v>
      </c>
      <c r="C366" s="12" t="n">
        <v>18.1</v>
      </c>
      <c r="D366" s="13" t="n">
        <v>0</v>
      </c>
      <c r="E366" s="12" t="n">
        <v>0.671</v>
      </c>
      <c r="F366" s="12" t="n">
        <v>6.968</v>
      </c>
      <c r="G366" s="12" t="n">
        <v>91.9</v>
      </c>
      <c r="H366" s="12" t="n">
        <v>1.4165</v>
      </c>
      <c r="I366" s="12" t="n">
        <v>24</v>
      </c>
      <c r="J366" s="12" t="n">
        <v>666</v>
      </c>
      <c r="K366" s="12" t="n">
        <v>20.2</v>
      </c>
      <c r="L366" s="12" t="n">
        <v>396.9</v>
      </c>
      <c r="M366" s="12" t="n">
        <v>17.21</v>
      </c>
      <c r="N366" s="12" t="n">
        <v>10.4</v>
      </c>
    </row>
    <row r="367" customFormat="false" ht="15" hidden="false" customHeight="false" outlineLevel="0" collapsed="false">
      <c r="A367" s="14" t="n">
        <v>15.8744</v>
      </c>
      <c r="B367" s="14" t="n">
        <v>0</v>
      </c>
      <c r="C367" s="14" t="n">
        <v>18.1</v>
      </c>
      <c r="D367" s="15" t="n">
        <v>0</v>
      </c>
      <c r="E367" s="14" t="n">
        <v>0.671</v>
      </c>
      <c r="F367" s="14" t="n">
        <v>6.545</v>
      </c>
      <c r="G367" s="14" t="n">
        <v>99.1</v>
      </c>
      <c r="H367" s="14" t="n">
        <v>1.5192</v>
      </c>
      <c r="I367" s="14" t="n">
        <v>24</v>
      </c>
      <c r="J367" s="14" t="n">
        <v>666</v>
      </c>
      <c r="K367" s="14" t="n">
        <v>20.2</v>
      </c>
      <c r="L367" s="14" t="n">
        <v>396.9</v>
      </c>
      <c r="M367" s="14" t="n">
        <v>21.08</v>
      </c>
      <c r="N367" s="14" t="n">
        <v>10.9</v>
      </c>
    </row>
    <row r="368" customFormat="false" ht="15" hidden="false" customHeight="false" outlineLevel="0" collapsed="false">
      <c r="A368" s="12" t="n">
        <v>9.18702</v>
      </c>
      <c r="B368" s="12" t="n">
        <v>0</v>
      </c>
      <c r="C368" s="12" t="n">
        <v>18.1</v>
      </c>
      <c r="D368" s="13" t="n">
        <v>0</v>
      </c>
      <c r="E368" s="12" t="n">
        <v>0.7</v>
      </c>
      <c r="F368" s="12" t="n">
        <v>5.536</v>
      </c>
      <c r="G368" s="12" t="n">
        <v>100</v>
      </c>
      <c r="H368" s="12" t="n">
        <v>1.5804</v>
      </c>
      <c r="I368" s="12" t="n">
        <v>24</v>
      </c>
      <c r="J368" s="12" t="n">
        <v>666</v>
      </c>
      <c r="K368" s="12" t="n">
        <v>20.2</v>
      </c>
      <c r="L368" s="12" t="n">
        <v>396.9</v>
      </c>
      <c r="M368" s="12" t="n">
        <v>23.6</v>
      </c>
      <c r="N368" s="12" t="n">
        <v>11.3</v>
      </c>
    </row>
    <row r="369" customFormat="false" ht="15" hidden="false" customHeight="false" outlineLevel="0" collapsed="false">
      <c r="A369" s="14" t="n">
        <v>7.99248</v>
      </c>
      <c r="B369" s="14" t="n">
        <v>0</v>
      </c>
      <c r="C369" s="14" t="n">
        <v>18.1</v>
      </c>
      <c r="D369" s="15" t="n">
        <v>0</v>
      </c>
      <c r="E369" s="14" t="n">
        <v>0.7</v>
      </c>
      <c r="F369" s="14" t="n">
        <v>5.52</v>
      </c>
      <c r="G369" s="14" t="n">
        <v>100</v>
      </c>
      <c r="H369" s="14" t="n">
        <v>1.5331</v>
      </c>
      <c r="I369" s="14" t="n">
        <v>24</v>
      </c>
      <c r="J369" s="14" t="n">
        <v>666</v>
      </c>
      <c r="K369" s="14" t="n">
        <v>20.2</v>
      </c>
      <c r="L369" s="14" t="n">
        <v>396.9</v>
      </c>
      <c r="M369" s="14" t="n">
        <v>24.56</v>
      </c>
      <c r="N369" s="14" t="n">
        <v>12.3</v>
      </c>
    </row>
    <row r="370" customFormat="false" ht="15" hidden="false" customHeight="false" outlineLevel="0" collapsed="false">
      <c r="A370" s="12" t="n">
        <v>20.0849</v>
      </c>
      <c r="B370" s="12" t="n">
        <v>0</v>
      </c>
      <c r="C370" s="12" t="n">
        <v>18.1</v>
      </c>
      <c r="D370" s="13" t="n">
        <v>0</v>
      </c>
      <c r="E370" s="12" t="n">
        <v>0.7</v>
      </c>
      <c r="F370" s="12" t="n">
        <v>4.368</v>
      </c>
      <c r="G370" s="12" t="n">
        <v>91.2</v>
      </c>
      <c r="H370" s="12" t="n">
        <v>1.4395</v>
      </c>
      <c r="I370" s="12" t="n">
        <v>24</v>
      </c>
      <c r="J370" s="12" t="n">
        <v>666</v>
      </c>
      <c r="K370" s="12" t="n">
        <v>20.2</v>
      </c>
      <c r="L370" s="12" t="n">
        <v>285.83</v>
      </c>
      <c r="M370" s="12" t="n">
        <v>30.63</v>
      </c>
      <c r="N370" s="12" t="n">
        <v>8.8</v>
      </c>
    </row>
    <row r="371" customFormat="false" ht="15" hidden="false" customHeight="false" outlineLevel="0" collapsed="false">
      <c r="A371" s="14" t="n">
        <v>16.8118</v>
      </c>
      <c r="B371" s="14" t="n">
        <v>0</v>
      </c>
      <c r="C371" s="14" t="n">
        <v>18.1</v>
      </c>
      <c r="D371" s="15" t="n">
        <v>0</v>
      </c>
      <c r="E371" s="14" t="n">
        <v>0.7</v>
      </c>
      <c r="F371" s="14" t="n">
        <v>5.277</v>
      </c>
      <c r="G371" s="14" t="n">
        <v>98.1</v>
      </c>
      <c r="H371" s="14" t="n">
        <v>1.4261</v>
      </c>
      <c r="I371" s="14" t="n">
        <v>24</v>
      </c>
      <c r="J371" s="14" t="n">
        <v>666</v>
      </c>
      <c r="K371" s="14" t="n">
        <v>20.2</v>
      </c>
      <c r="L371" s="14" t="n">
        <v>396.9</v>
      </c>
      <c r="M371" s="14" t="n">
        <v>30.81</v>
      </c>
      <c r="N371" s="14" t="n">
        <v>7.2</v>
      </c>
    </row>
    <row r="372" customFormat="false" ht="15" hidden="false" customHeight="false" outlineLevel="0" collapsed="false">
      <c r="A372" s="12" t="n">
        <v>24.3938</v>
      </c>
      <c r="B372" s="12" t="n">
        <v>0</v>
      </c>
      <c r="C372" s="12" t="n">
        <v>18.1</v>
      </c>
      <c r="D372" s="13" t="n">
        <v>0</v>
      </c>
      <c r="E372" s="12" t="n">
        <v>0.7</v>
      </c>
      <c r="F372" s="12" t="n">
        <v>4.652</v>
      </c>
      <c r="G372" s="12" t="n">
        <v>100</v>
      </c>
      <c r="H372" s="12" t="n">
        <v>1.4672</v>
      </c>
      <c r="I372" s="12" t="n">
        <v>24</v>
      </c>
      <c r="J372" s="12" t="n">
        <v>666</v>
      </c>
      <c r="K372" s="12" t="n">
        <v>20.2</v>
      </c>
      <c r="L372" s="12" t="n">
        <v>396.9</v>
      </c>
      <c r="M372" s="12" t="n">
        <v>28.28</v>
      </c>
      <c r="N372" s="12" t="n">
        <v>10.5</v>
      </c>
    </row>
    <row r="373" customFormat="false" ht="15" hidden="false" customHeight="false" outlineLevel="0" collapsed="false">
      <c r="A373" s="14" t="n">
        <v>22.5971</v>
      </c>
      <c r="B373" s="14" t="n">
        <v>0</v>
      </c>
      <c r="C373" s="14" t="n">
        <v>18.1</v>
      </c>
      <c r="D373" s="15" t="n">
        <v>0</v>
      </c>
      <c r="E373" s="14" t="n">
        <v>0.7</v>
      </c>
      <c r="F373" s="14" t="n">
        <v>5</v>
      </c>
      <c r="G373" s="14" t="n">
        <v>89.5</v>
      </c>
      <c r="H373" s="14" t="n">
        <v>1.5184</v>
      </c>
      <c r="I373" s="14" t="n">
        <v>24</v>
      </c>
      <c r="J373" s="14" t="n">
        <v>666</v>
      </c>
      <c r="K373" s="14" t="n">
        <v>20.2</v>
      </c>
      <c r="L373" s="14" t="n">
        <v>396.9</v>
      </c>
      <c r="M373" s="14" t="n">
        <v>31.99</v>
      </c>
      <c r="N373" s="14" t="n">
        <v>7.4</v>
      </c>
    </row>
    <row r="374" customFormat="false" ht="15" hidden="false" customHeight="false" outlineLevel="0" collapsed="false">
      <c r="A374" s="12" t="n">
        <v>14.3337</v>
      </c>
      <c r="B374" s="12" t="n">
        <v>0</v>
      </c>
      <c r="C374" s="12" t="n">
        <v>18.1</v>
      </c>
      <c r="D374" s="13" t="n">
        <v>0</v>
      </c>
      <c r="E374" s="12" t="n">
        <v>0.7</v>
      </c>
      <c r="F374" s="12" t="n">
        <v>4.88</v>
      </c>
      <c r="G374" s="12" t="n">
        <v>100</v>
      </c>
      <c r="H374" s="12" t="n">
        <v>1.5895</v>
      </c>
      <c r="I374" s="12" t="n">
        <v>24</v>
      </c>
      <c r="J374" s="12" t="n">
        <v>666</v>
      </c>
      <c r="K374" s="12" t="n">
        <v>20.2</v>
      </c>
      <c r="L374" s="12" t="n">
        <v>372.92</v>
      </c>
      <c r="M374" s="12" t="n">
        <v>30.62</v>
      </c>
      <c r="N374" s="12" t="n">
        <v>10.2</v>
      </c>
    </row>
    <row r="375" customFormat="false" ht="15" hidden="false" customHeight="false" outlineLevel="0" collapsed="false">
      <c r="A375" s="14" t="n">
        <v>8.15174</v>
      </c>
      <c r="B375" s="14" t="n">
        <v>0</v>
      </c>
      <c r="C375" s="14" t="n">
        <v>18.1</v>
      </c>
      <c r="D375" s="15" t="n">
        <v>0</v>
      </c>
      <c r="E375" s="14" t="n">
        <v>0.7</v>
      </c>
      <c r="F375" s="14" t="n">
        <v>5.39</v>
      </c>
      <c r="G375" s="14" t="n">
        <v>98.9</v>
      </c>
      <c r="H375" s="14" t="n">
        <v>1.7281</v>
      </c>
      <c r="I375" s="14" t="n">
        <v>24</v>
      </c>
      <c r="J375" s="14" t="n">
        <v>666</v>
      </c>
      <c r="K375" s="14" t="n">
        <v>20.2</v>
      </c>
      <c r="L375" s="14" t="n">
        <v>396.9</v>
      </c>
      <c r="M375" s="14" t="n">
        <v>20.85</v>
      </c>
      <c r="N375" s="14" t="n">
        <v>11.5</v>
      </c>
    </row>
    <row r="376" customFormat="false" ht="15" hidden="false" customHeight="false" outlineLevel="0" collapsed="false">
      <c r="A376" s="12" t="n">
        <v>6.96215</v>
      </c>
      <c r="B376" s="12" t="n">
        <v>0</v>
      </c>
      <c r="C376" s="12" t="n">
        <v>18.1</v>
      </c>
      <c r="D376" s="13" t="n">
        <v>0</v>
      </c>
      <c r="E376" s="12" t="n">
        <v>0.7</v>
      </c>
      <c r="F376" s="12" t="n">
        <v>5.713</v>
      </c>
      <c r="G376" s="12" t="n">
        <v>97</v>
      </c>
      <c r="H376" s="12" t="n">
        <v>1.9265</v>
      </c>
      <c r="I376" s="12" t="n">
        <v>24</v>
      </c>
      <c r="J376" s="12" t="n">
        <v>666</v>
      </c>
      <c r="K376" s="12" t="n">
        <v>20.2</v>
      </c>
      <c r="L376" s="12" t="n">
        <v>394.43</v>
      </c>
      <c r="M376" s="12" t="n">
        <v>17.11</v>
      </c>
      <c r="N376" s="12" t="n">
        <v>15.1</v>
      </c>
    </row>
    <row r="377" customFormat="false" ht="15" hidden="false" customHeight="false" outlineLevel="0" collapsed="false">
      <c r="A377" s="14" t="n">
        <v>5.29305</v>
      </c>
      <c r="B377" s="14" t="n">
        <v>0</v>
      </c>
      <c r="C377" s="14" t="n">
        <v>18.1</v>
      </c>
      <c r="D377" s="15" t="n">
        <v>0</v>
      </c>
      <c r="E377" s="14" t="n">
        <v>0.7</v>
      </c>
      <c r="F377" s="14" t="n">
        <v>6.051</v>
      </c>
      <c r="G377" s="14" t="n">
        <v>82.5</v>
      </c>
      <c r="H377" s="14" t="n">
        <v>2.1678</v>
      </c>
      <c r="I377" s="14" t="n">
        <v>24</v>
      </c>
      <c r="J377" s="14" t="n">
        <v>666</v>
      </c>
      <c r="K377" s="14" t="n">
        <v>20.2</v>
      </c>
      <c r="L377" s="14" t="n">
        <v>378.38</v>
      </c>
      <c r="M377" s="14" t="n">
        <v>18.76</v>
      </c>
      <c r="N377" s="14" t="n">
        <v>23.2</v>
      </c>
    </row>
    <row r="378" customFormat="false" ht="15" hidden="false" customHeight="false" outlineLevel="0" collapsed="false">
      <c r="A378" s="12" t="n">
        <v>11.5779</v>
      </c>
      <c r="B378" s="12" t="n">
        <v>0</v>
      </c>
      <c r="C378" s="12" t="n">
        <v>18.1</v>
      </c>
      <c r="D378" s="13" t="n">
        <v>0</v>
      </c>
      <c r="E378" s="12" t="n">
        <v>0.7</v>
      </c>
      <c r="F378" s="12" t="n">
        <v>5.036</v>
      </c>
      <c r="G378" s="12" t="n">
        <v>97</v>
      </c>
      <c r="H378" s="12" t="n">
        <v>1.77</v>
      </c>
      <c r="I378" s="12" t="n">
        <v>24</v>
      </c>
      <c r="J378" s="12" t="n">
        <v>666</v>
      </c>
      <c r="K378" s="12" t="n">
        <v>20.2</v>
      </c>
      <c r="L378" s="12" t="n">
        <v>396.9</v>
      </c>
      <c r="M378" s="12" t="n">
        <v>25.68</v>
      </c>
      <c r="N378" s="12" t="n">
        <v>9.7</v>
      </c>
    </row>
    <row r="379" customFormat="false" ht="15" hidden="false" customHeight="false" outlineLevel="0" collapsed="false">
      <c r="A379" s="14" t="n">
        <v>8.64476</v>
      </c>
      <c r="B379" s="14" t="n">
        <v>0</v>
      </c>
      <c r="C379" s="14" t="n">
        <v>18.1</v>
      </c>
      <c r="D379" s="15" t="n">
        <v>0</v>
      </c>
      <c r="E379" s="14" t="n">
        <v>0.693</v>
      </c>
      <c r="F379" s="14" t="n">
        <v>6.193</v>
      </c>
      <c r="G379" s="14" t="n">
        <v>92.6</v>
      </c>
      <c r="H379" s="14" t="n">
        <v>1.7912</v>
      </c>
      <c r="I379" s="14" t="n">
        <v>24</v>
      </c>
      <c r="J379" s="14" t="n">
        <v>666</v>
      </c>
      <c r="K379" s="14" t="n">
        <v>20.2</v>
      </c>
      <c r="L379" s="14" t="n">
        <v>396.9</v>
      </c>
      <c r="M379" s="14" t="n">
        <v>15.17</v>
      </c>
      <c r="N379" s="14" t="n">
        <v>13.8</v>
      </c>
    </row>
    <row r="380" customFormat="false" ht="15" hidden="false" customHeight="false" outlineLevel="0" collapsed="false">
      <c r="A380" s="12" t="n">
        <v>13.3598</v>
      </c>
      <c r="B380" s="12" t="n">
        <v>0</v>
      </c>
      <c r="C380" s="12" t="n">
        <v>18.1</v>
      </c>
      <c r="D380" s="13" t="n">
        <v>0</v>
      </c>
      <c r="E380" s="12" t="n">
        <v>0.693</v>
      </c>
      <c r="F380" s="12" t="n">
        <v>5.887</v>
      </c>
      <c r="G380" s="12" t="n">
        <v>94.7</v>
      </c>
      <c r="H380" s="12" t="n">
        <v>1.7821</v>
      </c>
      <c r="I380" s="12" t="n">
        <v>24</v>
      </c>
      <c r="J380" s="12" t="n">
        <v>666</v>
      </c>
      <c r="K380" s="12" t="n">
        <v>20.2</v>
      </c>
      <c r="L380" s="12" t="n">
        <v>396.9</v>
      </c>
      <c r="M380" s="12" t="n">
        <v>16.35</v>
      </c>
      <c r="N380" s="12" t="n">
        <v>12.7</v>
      </c>
    </row>
    <row r="381" customFormat="false" ht="15" hidden="false" customHeight="false" outlineLevel="0" collapsed="false">
      <c r="A381" s="14" t="n">
        <v>8.71675</v>
      </c>
      <c r="B381" s="14" t="n">
        <v>0</v>
      </c>
      <c r="C381" s="14" t="n">
        <v>18.1</v>
      </c>
      <c r="D381" s="15" t="n">
        <v>0</v>
      </c>
      <c r="E381" s="14" t="n">
        <v>0.693</v>
      </c>
      <c r="F381" s="14" t="n">
        <v>6.471</v>
      </c>
      <c r="G381" s="14" t="n">
        <v>98.8</v>
      </c>
      <c r="H381" s="14" t="n">
        <v>1.7257</v>
      </c>
      <c r="I381" s="14" t="n">
        <v>24</v>
      </c>
      <c r="J381" s="14" t="n">
        <v>666</v>
      </c>
      <c r="K381" s="14" t="n">
        <v>20.2</v>
      </c>
      <c r="L381" s="14" t="n">
        <v>391.98</v>
      </c>
      <c r="M381" s="14" t="n">
        <v>17.12</v>
      </c>
      <c r="N381" s="14" t="n">
        <v>13.1</v>
      </c>
    </row>
    <row r="382" customFormat="false" ht="15" hidden="false" customHeight="false" outlineLevel="0" collapsed="false">
      <c r="A382" s="12" t="n">
        <v>5.87205</v>
      </c>
      <c r="B382" s="12" t="n">
        <v>0</v>
      </c>
      <c r="C382" s="12" t="n">
        <v>18.1</v>
      </c>
      <c r="D382" s="13" t="n">
        <v>0</v>
      </c>
      <c r="E382" s="12" t="n">
        <v>0.693</v>
      </c>
      <c r="F382" s="12" t="n">
        <v>6.405</v>
      </c>
      <c r="G382" s="12" t="n">
        <v>96</v>
      </c>
      <c r="H382" s="12" t="n">
        <v>1.6768</v>
      </c>
      <c r="I382" s="12" t="n">
        <v>24</v>
      </c>
      <c r="J382" s="12" t="n">
        <v>666</v>
      </c>
      <c r="K382" s="12" t="n">
        <v>20.2</v>
      </c>
      <c r="L382" s="12" t="n">
        <v>396.9</v>
      </c>
      <c r="M382" s="12" t="n">
        <v>19.37</v>
      </c>
      <c r="N382" s="12" t="n">
        <v>12.5</v>
      </c>
    </row>
    <row r="383" customFormat="false" ht="15" hidden="false" customHeight="false" outlineLevel="0" collapsed="false">
      <c r="A383" s="14" t="n">
        <v>7.67202</v>
      </c>
      <c r="B383" s="14" t="n">
        <v>0</v>
      </c>
      <c r="C383" s="14" t="n">
        <v>18.1</v>
      </c>
      <c r="D383" s="15" t="n">
        <v>0</v>
      </c>
      <c r="E383" s="14" t="n">
        <v>0.693</v>
      </c>
      <c r="F383" s="14" t="n">
        <v>5.747</v>
      </c>
      <c r="G383" s="14" t="n">
        <v>98.9</v>
      </c>
      <c r="H383" s="14" t="n">
        <v>1.6334</v>
      </c>
      <c r="I383" s="14" t="n">
        <v>24</v>
      </c>
      <c r="J383" s="14" t="n">
        <v>666</v>
      </c>
      <c r="K383" s="14" t="n">
        <v>20.2</v>
      </c>
      <c r="L383" s="14" t="n">
        <v>393.1</v>
      </c>
      <c r="M383" s="14" t="n">
        <v>19.92</v>
      </c>
      <c r="N383" s="14" t="n">
        <v>8.5</v>
      </c>
    </row>
    <row r="384" customFormat="false" ht="15" hidden="false" customHeight="false" outlineLevel="0" collapsed="false">
      <c r="A384" s="12" t="n">
        <v>38.3518</v>
      </c>
      <c r="B384" s="12" t="n">
        <v>0</v>
      </c>
      <c r="C384" s="12" t="n">
        <v>18.1</v>
      </c>
      <c r="D384" s="13" t="n">
        <v>0</v>
      </c>
      <c r="E384" s="12" t="n">
        <v>0.693</v>
      </c>
      <c r="F384" s="12" t="n">
        <v>5.453</v>
      </c>
      <c r="G384" s="12" t="n">
        <v>100</v>
      </c>
      <c r="H384" s="12" t="n">
        <v>1.4896</v>
      </c>
      <c r="I384" s="12" t="n">
        <v>24</v>
      </c>
      <c r="J384" s="12" t="n">
        <v>666</v>
      </c>
      <c r="K384" s="12" t="n">
        <v>20.2</v>
      </c>
      <c r="L384" s="12" t="n">
        <v>396.9</v>
      </c>
      <c r="M384" s="12" t="n">
        <v>30.59</v>
      </c>
      <c r="N384" s="12" t="n">
        <v>5</v>
      </c>
    </row>
    <row r="385" customFormat="false" ht="15" hidden="false" customHeight="false" outlineLevel="0" collapsed="false">
      <c r="A385" s="14" t="n">
        <v>9.91655</v>
      </c>
      <c r="B385" s="14" t="n">
        <v>0</v>
      </c>
      <c r="C385" s="14" t="n">
        <v>18.1</v>
      </c>
      <c r="D385" s="15" t="n">
        <v>0</v>
      </c>
      <c r="E385" s="14" t="n">
        <v>0.693</v>
      </c>
      <c r="F385" s="14" t="n">
        <v>5.852</v>
      </c>
      <c r="G385" s="14" t="n">
        <v>77.8</v>
      </c>
      <c r="H385" s="14" t="n">
        <v>1.5004</v>
      </c>
      <c r="I385" s="14" t="n">
        <v>24</v>
      </c>
      <c r="J385" s="14" t="n">
        <v>666</v>
      </c>
      <c r="K385" s="14" t="n">
        <v>20.2</v>
      </c>
      <c r="L385" s="14" t="n">
        <v>338.16</v>
      </c>
      <c r="M385" s="14" t="n">
        <v>29.97</v>
      </c>
      <c r="N385" s="14" t="n">
        <v>6.3</v>
      </c>
    </row>
    <row r="386" customFormat="false" ht="15" hidden="false" customHeight="false" outlineLevel="0" collapsed="false">
      <c r="A386" s="12" t="n">
        <v>25.0461</v>
      </c>
      <c r="B386" s="12" t="n">
        <v>0</v>
      </c>
      <c r="C386" s="12" t="n">
        <v>18.1</v>
      </c>
      <c r="D386" s="13" t="n">
        <v>0</v>
      </c>
      <c r="E386" s="12" t="n">
        <v>0.693</v>
      </c>
      <c r="F386" s="12" t="n">
        <v>5.987</v>
      </c>
      <c r="G386" s="12" t="n">
        <v>100</v>
      </c>
      <c r="H386" s="12" t="n">
        <v>1.5888</v>
      </c>
      <c r="I386" s="12" t="n">
        <v>24</v>
      </c>
      <c r="J386" s="12" t="n">
        <v>666</v>
      </c>
      <c r="K386" s="12" t="n">
        <v>20.2</v>
      </c>
      <c r="L386" s="12" t="n">
        <v>396.9</v>
      </c>
      <c r="M386" s="12" t="n">
        <v>26.77</v>
      </c>
      <c r="N386" s="12" t="n">
        <v>5.6</v>
      </c>
    </row>
    <row r="387" customFormat="false" ht="15" hidden="false" customHeight="false" outlineLevel="0" collapsed="false">
      <c r="A387" s="14" t="n">
        <v>14.2362</v>
      </c>
      <c r="B387" s="14" t="n">
        <v>0</v>
      </c>
      <c r="C387" s="14" t="n">
        <v>18.1</v>
      </c>
      <c r="D387" s="15" t="n">
        <v>0</v>
      </c>
      <c r="E387" s="14" t="n">
        <v>0.693</v>
      </c>
      <c r="F387" s="14" t="n">
        <v>6.343</v>
      </c>
      <c r="G387" s="14" t="n">
        <v>100</v>
      </c>
      <c r="H387" s="14" t="n">
        <v>1.5741</v>
      </c>
      <c r="I387" s="14" t="n">
        <v>24</v>
      </c>
      <c r="J387" s="14" t="n">
        <v>666</v>
      </c>
      <c r="K387" s="14" t="n">
        <v>20.2</v>
      </c>
      <c r="L387" s="14" t="n">
        <v>396.9</v>
      </c>
      <c r="M387" s="14" t="n">
        <v>20.32</v>
      </c>
      <c r="N387" s="14" t="n">
        <v>7.2</v>
      </c>
    </row>
    <row r="388" customFormat="false" ht="15" hidden="false" customHeight="false" outlineLevel="0" collapsed="false">
      <c r="A388" s="12" t="n">
        <v>9.59571</v>
      </c>
      <c r="B388" s="12" t="n">
        <v>0</v>
      </c>
      <c r="C388" s="12" t="n">
        <v>18.1</v>
      </c>
      <c r="D388" s="13" t="n">
        <v>0</v>
      </c>
      <c r="E388" s="12" t="n">
        <v>0.693</v>
      </c>
      <c r="F388" s="12" t="n">
        <v>6.404</v>
      </c>
      <c r="G388" s="12" t="n">
        <v>100</v>
      </c>
      <c r="H388" s="12" t="n">
        <v>1.639</v>
      </c>
      <c r="I388" s="12" t="n">
        <v>24</v>
      </c>
      <c r="J388" s="12" t="n">
        <v>666</v>
      </c>
      <c r="K388" s="12" t="n">
        <v>20.2</v>
      </c>
      <c r="L388" s="12" t="n">
        <v>376.11</v>
      </c>
      <c r="M388" s="12" t="n">
        <v>20.31</v>
      </c>
      <c r="N388" s="12" t="n">
        <v>12.1</v>
      </c>
    </row>
    <row r="389" customFormat="false" ht="15" hidden="false" customHeight="false" outlineLevel="0" collapsed="false">
      <c r="A389" s="14" t="n">
        <v>24.8017</v>
      </c>
      <c r="B389" s="14" t="n">
        <v>0</v>
      </c>
      <c r="C389" s="14" t="n">
        <v>18.1</v>
      </c>
      <c r="D389" s="15" t="n">
        <v>0</v>
      </c>
      <c r="E389" s="14" t="n">
        <v>0.693</v>
      </c>
      <c r="F389" s="14" t="n">
        <v>5.349</v>
      </c>
      <c r="G389" s="14" t="n">
        <v>96</v>
      </c>
      <c r="H389" s="14" t="n">
        <v>1.7028</v>
      </c>
      <c r="I389" s="14" t="n">
        <v>24</v>
      </c>
      <c r="J389" s="14" t="n">
        <v>666</v>
      </c>
      <c r="K389" s="14" t="n">
        <v>20.2</v>
      </c>
      <c r="L389" s="14" t="n">
        <v>396.9</v>
      </c>
      <c r="M389" s="14" t="n">
        <v>19.77</v>
      </c>
      <c r="N389" s="14" t="n">
        <v>8.3</v>
      </c>
    </row>
    <row r="390" customFormat="false" ht="15" hidden="false" customHeight="false" outlineLevel="0" collapsed="false">
      <c r="A390" s="12" t="n">
        <v>41.5292</v>
      </c>
      <c r="B390" s="12" t="n">
        <v>0</v>
      </c>
      <c r="C390" s="12" t="n">
        <v>18.1</v>
      </c>
      <c r="D390" s="13" t="n">
        <v>0</v>
      </c>
      <c r="E390" s="12" t="n">
        <v>0.693</v>
      </c>
      <c r="F390" s="12" t="n">
        <v>5.531</v>
      </c>
      <c r="G390" s="12" t="n">
        <v>85.4</v>
      </c>
      <c r="H390" s="12" t="n">
        <v>1.6074</v>
      </c>
      <c r="I390" s="12" t="n">
        <v>24</v>
      </c>
      <c r="J390" s="12" t="n">
        <v>666</v>
      </c>
      <c r="K390" s="12" t="n">
        <v>20.2</v>
      </c>
      <c r="L390" s="12" t="n">
        <v>329.46</v>
      </c>
      <c r="M390" s="12" t="n">
        <v>27.38</v>
      </c>
      <c r="N390" s="12" t="n">
        <v>8.5</v>
      </c>
    </row>
    <row r="391" customFormat="false" ht="15" hidden="false" customHeight="false" outlineLevel="0" collapsed="false">
      <c r="A391" s="14" t="n">
        <v>67.9208</v>
      </c>
      <c r="B391" s="14" t="n">
        <v>0</v>
      </c>
      <c r="C391" s="14" t="n">
        <v>18.1</v>
      </c>
      <c r="D391" s="15" t="n">
        <v>0</v>
      </c>
      <c r="E391" s="14" t="n">
        <v>0.693</v>
      </c>
      <c r="F391" s="14" t="n">
        <v>5.683</v>
      </c>
      <c r="G391" s="14" t="n">
        <v>100</v>
      </c>
      <c r="H391" s="14" t="n">
        <v>1.4254</v>
      </c>
      <c r="I391" s="14" t="n">
        <v>24</v>
      </c>
      <c r="J391" s="14" t="n">
        <v>666</v>
      </c>
      <c r="K391" s="14" t="n">
        <v>20.2</v>
      </c>
      <c r="L391" s="14" t="n">
        <v>384.97</v>
      </c>
      <c r="M391" s="14" t="n">
        <v>22.98</v>
      </c>
      <c r="N391" s="14" t="n">
        <v>5</v>
      </c>
    </row>
    <row r="392" customFormat="false" ht="15" hidden="false" customHeight="false" outlineLevel="0" collapsed="false">
      <c r="A392" s="12" t="n">
        <v>20.7162</v>
      </c>
      <c r="B392" s="12" t="n">
        <v>0</v>
      </c>
      <c r="C392" s="12" t="n">
        <v>18.1</v>
      </c>
      <c r="D392" s="13" t="n">
        <v>0</v>
      </c>
      <c r="E392" s="12" t="n">
        <v>0.659</v>
      </c>
      <c r="F392" s="12" t="n">
        <v>4.138</v>
      </c>
      <c r="G392" s="12" t="n">
        <v>100</v>
      </c>
      <c r="H392" s="12" t="n">
        <v>1.1781</v>
      </c>
      <c r="I392" s="12" t="n">
        <v>24</v>
      </c>
      <c r="J392" s="12" t="n">
        <v>666</v>
      </c>
      <c r="K392" s="12" t="n">
        <v>20.2</v>
      </c>
      <c r="L392" s="12" t="n">
        <v>370.22</v>
      </c>
      <c r="M392" s="12" t="n">
        <v>23.34</v>
      </c>
      <c r="N392" s="12" t="n">
        <v>11.9</v>
      </c>
    </row>
    <row r="393" customFormat="false" ht="15" hidden="false" customHeight="false" outlineLevel="0" collapsed="false">
      <c r="A393" s="14" t="n">
        <v>11.9511</v>
      </c>
      <c r="B393" s="14" t="n">
        <v>0</v>
      </c>
      <c r="C393" s="14" t="n">
        <v>18.1</v>
      </c>
      <c r="D393" s="15" t="n">
        <v>0</v>
      </c>
      <c r="E393" s="14" t="n">
        <v>0.659</v>
      </c>
      <c r="F393" s="14" t="n">
        <v>5.608</v>
      </c>
      <c r="G393" s="14" t="n">
        <v>100</v>
      </c>
      <c r="H393" s="14" t="n">
        <v>1.2852</v>
      </c>
      <c r="I393" s="14" t="n">
        <v>24</v>
      </c>
      <c r="J393" s="14" t="n">
        <v>666</v>
      </c>
      <c r="K393" s="14" t="n">
        <v>20.2</v>
      </c>
      <c r="L393" s="14" t="n">
        <v>332.09</v>
      </c>
      <c r="M393" s="14" t="n">
        <v>12.13</v>
      </c>
      <c r="N393" s="14" t="n">
        <v>27.9</v>
      </c>
    </row>
    <row r="394" customFormat="false" ht="15" hidden="false" customHeight="false" outlineLevel="0" collapsed="false">
      <c r="A394" s="12" t="n">
        <v>7.40389</v>
      </c>
      <c r="B394" s="12" t="n">
        <v>0</v>
      </c>
      <c r="C394" s="12" t="n">
        <v>18.1</v>
      </c>
      <c r="D394" s="13" t="n">
        <v>0</v>
      </c>
      <c r="E394" s="12" t="n">
        <v>0.597</v>
      </c>
      <c r="F394" s="12" t="n">
        <v>5.617</v>
      </c>
      <c r="G394" s="12" t="n">
        <v>97.9</v>
      </c>
      <c r="H394" s="12" t="n">
        <v>1.4547</v>
      </c>
      <c r="I394" s="12" t="n">
        <v>24</v>
      </c>
      <c r="J394" s="12" t="n">
        <v>666</v>
      </c>
      <c r="K394" s="12" t="n">
        <v>20.2</v>
      </c>
      <c r="L394" s="12" t="n">
        <v>314.64</v>
      </c>
      <c r="M394" s="12" t="n">
        <v>26.4</v>
      </c>
      <c r="N394" s="12" t="n">
        <v>17.2</v>
      </c>
    </row>
    <row r="395" customFormat="false" ht="15" hidden="false" customHeight="false" outlineLevel="0" collapsed="false">
      <c r="A395" s="14" t="n">
        <v>14.4383</v>
      </c>
      <c r="B395" s="14" t="n">
        <v>0</v>
      </c>
      <c r="C395" s="14" t="n">
        <v>18.1</v>
      </c>
      <c r="D395" s="15" t="n">
        <v>0</v>
      </c>
      <c r="E395" s="14" t="n">
        <v>0.597</v>
      </c>
      <c r="F395" s="14" t="n">
        <v>6.852</v>
      </c>
      <c r="G395" s="14" t="n">
        <v>100</v>
      </c>
      <c r="H395" s="14" t="n">
        <v>1.4655</v>
      </c>
      <c r="I395" s="14" t="n">
        <v>24</v>
      </c>
      <c r="J395" s="14" t="n">
        <v>666</v>
      </c>
      <c r="K395" s="14" t="n">
        <v>20.2</v>
      </c>
      <c r="L395" s="14" t="n">
        <v>179.36</v>
      </c>
      <c r="M395" s="14" t="n">
        <v>19.78</v>
      </c>
      <c r="N395" s="14" t="n">
        <v>27.5</v>
      </c>
    </row>
    <row r="396" customFormat="false" ht="15" hidden="false" customHeight="false" outlineLevel="0" collapsed="false">
      <c r="A396" s="12" t="n">
        <v>51.1358</v>
      </c>
      <c r="B396" s="12" t="n">
        <v>0</v>
      </c>
      <c r="C396" s="12" t="n">
        <v>18.1</v>
      </c>
      <c r="D396" s="13" t="n">
        <v>0</v>
      </c>
      <c r="E396" s="12" t="n">
        <v>0.597</v>
      </c>
      <c r="F396" s="12" t="n">
        <v>5.757</v>
      </c>
      <c r="G396" s="12" t="n">
        <v>100</v>
      </c>
      <c r="H396" s="12" t="n">
        <v>1.413</v>
      </c>
      <c r="I396" s="12" t="n">
        <v>24</v>
      </c>
      <c r="J396" s="12" t="n">
        <v>666</v>
      </c>
      <c r="K396" s="12" t="n">
        <v>20.2</v>
      </c>
      <c r="L396" s="12" t="n">
        <v>2.6</v>
      </c>
      <c r="M396" s="12" t="n">
        <v>10.11</v>
      </c>
      <c r="N396" s="12" t="n">
        <v>15</v>
      </c>
    </row>
    <row r="397" customFormat="false" ht="15" hidden="false" customHeight="false" outlineLevel="0" collapsed="false">
      <c r="A397" s="14" t="n">
        <v>14.0507</v>
      </c>
      <c r="B397" s="14" t="n">
        <v>0</v>
      </c>
      <c r="C397" s="14" t="n">
        <v>18.1</v>
      </c>
      <c r="D397" s="15" t="n">
        <v>0</v>
      </c>
      <c r="E397" s="14" t="n">
        <v>0.597</v>
      </c>
      <c r="F397" s="14" t="n">
        <v>6.657</v>
      </c>
      <c r="G397" s="14" t="n">
        <v>100</v>
      </c>
      <c r="H397" s="14" t="n">
        <v>1.5275</v>
      </c>
      <c r="I397" s="14" t="n">
        <v>24</v>
      </c>
      <c r="J397" s="14" t="n">
        <v>666</v>
      </c>
      <c r="K397" s="14" t="n">
        <v>20.2</v>
      </c>
      <c r="L397" s="14" t="n">
        <v>35.05</v>
      </c>
      <c r="M397" s="14" t="n">
        <v>21.22</v>
      </c>
      <c r="N397" s="14" t="n">
        <v>17.2</v>
      </c>
    </row>
    <row r="398" customFormat="false" ht="15" hidden="false" customHeight="false" outlineLevel="0" collapsed="false">
      <c r="A398" s="12" t="n">
        <v>18.811</v>
      </c>
      <c r="B398" s="12" t="n">
        <v>0</v>
      </c>
      <c r="C398" s="12" t="n">
        <v>18.1</v>
      </c>
      <c r="D398" s="13" t="n">
        <v>0</v>
      </c>
      <c r="E398" s="12" t="n">
        <v>0.597</v>
      </c>
      <c r="F398" s="12" t="n">
        <v>4.628</v>
      </c>
      <c r="G398" s="12" t="n">
        <v>100</v>
      </c>
      <c r="H398" s="12" t="n">
        <v>1.5539</v>
      </c>
      <c r="I398" s="12" t="n">
        <v>24</v>
      </c>
      <c r="J398" s="12" t="n">
        <v>666</v>
      </c>
      <c r="K398" s="12" t="n">
        <v>20.2</v>
      </c>
      <c r="L398" s="12" t="n">
        <v>28.79</v>
      </c>
      <c r="M398" s="12" t="n">
        <v>34.37</v>
      </c>
      <c r="N398" s="12" t="n">
        <v>17.9</v>
      </c>
    </row>
    <row r="399" customFormat="false" ht="15" hidden="false" customHeight="false" outlineLevel="0" collapsed="false">
      <c r="A399" s="14" t="n">
        <v>28.6558</v>
      </c>
      <c r="B399" s="14" t="n">
        <v>0</v>
      </c>
      <c r="C399" s="14" t="n">
        <v>18.1</v>
      </c>
      <c r="D399" s="15" t="n">
        <v>0</v>
      </c>
      <c r="E399" s="14" t="n">
        <v>0.597</v>
      </c>
      <c r="F399" s="14" t="n">
        <v>5.155</v>
      </c>
      <c r="G399" s="14" t="n">
        <v>100</v>
      </c>
      <c r="H399" s="14" t="n">
        <v>1.5894</v>
      </c>
      <c r="I399" s="14" t="n">
        <v>24</v>
      </c>
      <c r="J399" s="14" t="n">
        <v>666</v>
      </c>
      <c r="K399" s="14" t="n">
        <v>20.2</v>
      </c>
      <c r="L399" s="14" t="n">
        <v>210.97</v>
      </c>
      <c r="M399" s="14" t="n">
        <v>20.08</v>
      </c>
      <c r="N399" s="14" t="n">
        <v>16.3</v>
      </c>
    </row>
    <row r="400" customFormat="false" ht="15" hidden="false" customHeight="false" outlineLevel="0" collapsed="false">
      <c r="A400" s="12" t="n">
        <v>45.7461</v>
      </c>
      <c r="B400" s="12" t="n">
        <v>0</v>
      </c>
      <c r="C400" s="12" t="n">
        <v>18.1</v>
      </c>
      <c r="D400" s="13" t="n">
        <v>0</v>
      </c>
      <c r="E400" s="12" t="n">
        <v>0.693</v>
      </c>
      <c r="F400" s="12" t="n">
        <v>4.519</v>
      </c>
      <c r="G400" s="12" t="n">
        <v>100</v>
      </c>
      <c r="H400" s="12" t="n">
        <v>1.6582</v>
      </c>
      <c r="I400" s="12" t="n">
        <v>24</v>
      </c>
      <c r="J400" s="12" t="n">
        <v>666</v>
      </c>
      <c r="K400" s="12" t="n">
        <v>20.2</v>
      </c>
      <c r="L400" s="12" t="n">
        <v>88.27</v>
      </c>
      <c r="M400" s="12" t="n">
        <v>36.98</v>
      </c>
      <c r="N400" s="12" t="n">
        <v>7</v>
      </c>
    </row>
    <row r="401" customFormat="false" ht="15" hidden="false" customHeight="false" outlineLevel="0" collapsed="false">
      <c r="A401" s="14" t="n">
        <v>18.0846</v>
      </c>
      <c r="B401" s="14" t="n">
        <v>0</v>
      </c>
      <c r="C401" s="14" t="n">
        <v>18.1</v>
      </c>
      <c r="D401" s="15" t="n">
        <v>0</v>
      </c>
      <c r="E401" s="14" t="n">
        <v>0.679</v>
      </c>
      <c r="F401" s="14" t="n">
        <v>6.434</v>
      </c>
      <c r="G401" s="14" t="n">
        <v>100</v>
      </c>
      <c r="H401" s="14" t="n">
        <v>1.8347</v>
      </c>
      <c r="I401" s="14" t="n">
        <v>24</v>
      </c>
      <c r="J401" s="14" t="n">
        <v>666</v>
      </c>
      <c r="K401" s="14" t="n">
        <v>20.2</v>
      </c>
      <c r="L401" s="14" t="n">
        <v>27.25</v>
      </c>
      <c r="M401" s="14" t="n">
        <v>29.05</v>
      </c>
      <c r="N401" s="14" t="n">
        <v>7.2</v>
      </c>
    </row>
    <row r="402" customFormat="false" ht="15" hidden="false" customHeight="false" outlineLevel="0" collapsed="false">
      <c r="A402" s="12" t="n">
        <v>10.8342</v>
      </c>
      <c r="B402" s="12" t="n">
        <v>0</v>
      </c>
      <c r="C402" s="12" t="n">
        <v>18.1</v>
      </c>
      <c r="D402" s="13" t="n">
        <v>0</v>
      </c>
      <c r="E402" s="12" t="n">
        <v>0.679</v>
      </c>
      <c r="F402" s="12" t="n">
        <v>6.782</v>
      </c>
      <c r="G402" s="12" t="n">
        <v>90.8</v>
      </c>
      <c r="H402" s="12" t="n">
        <v>1.8195</v>
      </c>
      <c r="I402" s="12" t="n">
        <v>24</v>
      </c>
      <c r="J402" s="12" t="n">
        <v>666</v>
      </c>
      <c r="K402" s="12" t="n">
        <v>20.2</v>
      </c>
      <c r="L402" s="12" t="n">
        <v>21.57</v>
      </c>
      <c r="M402" s="12" t="n">
        <v>25.79</v>
      </c>
      <c r="N402" s="12" t="n">
        <v>7.5</v>
      </c>
    </row>
    <row r="403" customFormat="false" ht="15" hidden="false" customHeight="false" outlineLevel="0" collapsed="false">
      <c r="A403" s="14" t="n">
        <v>25.9406</v>
      </c>
      <c r="B403" s="14" t="n">
        <v>0</v>
      </c>
      <c r="C403" s="14" t="n">
        <v>18.1</v>
      </c>
      <c r="D403" s="15" t="n">
        <v>0</v>
      </c>
      <c r="E403" s="14" t="n">
        <v>0.679</v>
      </c>
      <c r="F403" s="14" t="n">
        <v>5.304</v>
      </c>
      <c r="G403" s="14" t="n">
        <v>89.1</v>
      </c>
      <c r="H403" s="14" t="n">
        <v>1.6475</v>
      </c>
      <c r="I403" s="14" t="n">
        <v>24</v>
      </c>
      <c r="J403" s="14" t="n">
        <v>666</v>
      </c>
      <c r="K403" s="14" t="n">
        <v>20.2</v>
      </c>
      <c r="L403" s="14" t="n">
        <v>127.36</v>
      </c>
      <c r="M403" s="14" t="n">
        <v>26.64</v>
      </c>
      <c r="N403" s="14" t="n">
        <v>10.4</v>
      </c>
    </row>
    <row r="404" customFormat="false" ht="15" hidden="false" customHeight="false" outlineLevel="0" collapsed="false">
      <c r="A404" s="12" t="n">
        <v>73.5341</v>
      </c>
      <c r="B404" s="12" t="n">
        <v>0</v>
      </c>
      <c r="C404" s="12" t="n">
        <v>18.1</v>
      </c>
      <c r="D404" s="13" t="n">
        <v>0</v>
      </c>
      <c r="E404" s="12" t="n">
        <v>0.679</v>
      </c>
      <c r="F404" s="12" t="n">
        <v>5.957</v>
      </c>
      <c r="G404" s="12" t="n">
        <v>100</v>
      </c>
      <c r="H404" s="12" t="n">
        <v>1.8026</v>
      </c>
      <c r="I404" s="12" t="n">
        <v>24</v>
      </c>
      <c r="J404" s="12" t="n">
        <v>666</v>
      </c>
      <c r="K404" s="12" t="n">
        <v>20.2</v>
      </c>
      <c r="L404" s="12" t="n">
        <v>16.45</v>
      </c>
      <c r="M404" s="12" t="n">
        <v>20.62</v>
      </c>
      <c r="N404" s="12" t="n">
        <v>8.8</v>
      </c>
    </row>
    <row r="405" customFormat="false" ht="15" hidden="false" customHeight="false" outlineLevel="0" collapsed="false">
      <c r="A405" s="14" t="n">
        <v>11.8123</v>
      </c>
      <c r="B405" s="14" t="n">
        <v>0</v>
      </c>
      <c r="C405" s="14" t="n">
        <v>18.1</v>
      </c>
      <c r="D405" s="15" t="n">
        <v>0</v>
      </c>
      <c r="E405" s="14" t="n">
        <v>0.718</v>
      </c>
      <c r="F405" s="14" t="n">
        <v>6.824</v>
      </c>
      <c r="G405" s="14" t="n">
        <v>76.5</v>
      </c>
      <c r="H405" s="14" t="n">
        <v>1.794</v>
      </c>
      <c r="I405" s="14" t="n">
        <v>24</v>
      </c>
      <c r="J405" s="14" t="n">
        <v>666</v>
      </c>
      <c r="K405" s="14" t="n">
        <v>20.2</v>
      </c>
      <c r="L405" s="14" t="n">
        <v>48.45</v>
      </c>
      <c r="M405" s="14" t="n">
        <v>22.74</v>
      </c>
      <c r="N405" s="14" t="n">
        <v>8.4</v>
      </c>
    </row>
    <row r="406" customFormat="false" ht="15" hidden="false" customHeight="false" outlineLevel="0" collapsed="false">
      <c r="A406" s="12" t="n">
        <v>11.0874</v>
      </c>
      <c r="B406" s="12" t="n">
        <v>0</v>
      </c>
      <c r="C406" s="12" t="n">
        <v>18.1</v>
      </c>
      <c r="D406" s="13" t="n">
        <v>0</v>
      </c>
      <c r="E406" s="12" t="n">
        <v>0.718</v>
      </c>
      <c r="F406" s="12" t="n">
        <v>6.411</v>
      </c>
      <c r="G406" s="12" t="n">
        <v>100</v>
      </c>
      <c r="H406" s="12" t="n">
        <v>1.8589</v>
      </c>
      <c r="I406" s="12" t="n">
        <v>24</v>
      </c>
      <c r="J406" s="12" t="n">
        <v>666</v>
      </c>
      <c r="K406" s="12" t="n">
        <v>20.2</v>
      </c>
      <c r="L406" s="12" t="n">
        <v>318.75</v>
      </c>
      <c r="M406" s="12" t="n">
        <v>15.02</v>
      </c>
      <c r="N406" s="12" t="n">
        <v>16.7</v>
      </c>
    </row>
    <row r="407" customFormat="false" ht="15" hidden="false" customHeight="false" outlineLevel="0" collapsed="false">
      <c r="A407" s="14" t="n">
        <v>7.02259</v>
      </c>
      <c r="B407" s="14" t="n">
        <v>0</v>
      </c>
      <c r="C407" s="14" t="n">
        <v>18.1</v>
      </c>
      <c r="D407" s="15" t="n">
        <v>0</v>
      </c>
      <c r="E407" s="14" t="n">
        <v>0.718</v>
      </c>
      <c r="F407" s="14" t="n">
        <v>6.006</v>
      </c>
      <c r="G407" s="14" t="n">
        <v>95.3</v>
      </c>
      <c r="H407" s="14" t="n">
        <v>1.8746</v>
      </c>
      <c r="I407" s="14" t="n">
        <v>24</v>
      </c>
      <c r="J407" s="14" t="n">
        <v>666</v>
      </c>
      <c r="K407" s="14" t="n">
        <v>20.2</v>
      </c>
      <c r="L407" s="14" t="n">
        <v>319.98</v>
      </c>
      <c r="M407" s="14" t="n">
        <v>15.7</v>
      </c>
      <c r="N407" s="14" t="n">
        <v>14.2</v>
      </c>
    </row>
    <row r="408" customFormat="false" ht="15" hidden="false" customHeight="false" outlineLevel="0" collapsed="false">
      <c r="A408" s="12" t="n">
        <v>12.0482</v>
      </c>
      <c r="B408" s="12" t="n">
        <v>0</v>
      </c>
      <c r="C408" s="12" t="n">
        <v>18.1</v>
      </c>
      <c r="D408" s="13" t="n">
        <v>0</v>
      </c>
      <c r="E408" s="12" t="n">
        <v>0.614</v>
      </c>
      <c r="F408" s="12" t="n">
        <v>5.648</v>
      </c>
      <c r="G408" s="12" t="n">
        <v>87.6</v>
      </c>
      <c r="H408" s="12" t="n">
        <v>1.9512</v>
      </c>
      <c r="I408" s="12" t="n">
        <v>24</v>
      </c>
      <c r="J408" s="12" t="n">
        <v>666</v>
      </c>
      <c r="K408" s="12" t="n">
        <v>20.2</v>
      </c>
      <c r="L408" s="12" t="n">
        <v>291.55</v>
      </c>
      <c r="M408" s="12" t="n">
        <v>14.1</v>
      </c>
      <c r="N408" s="12" t="n">
        <v>20.8</v>
      </c>
    </row>
    <row r="409" customFormat="false" ht="15" hidden="false" customHeight="false" outlineLevel="0" collapsed="false">
      <c r="A409" s="14" t="n">
        <v>7.05042</v>
      </c>
      <c r="B409" s="14" t="n">
        <v>0</v>
      </c>
      <c r="C409" s="14" t="n">
        <v>18.1</v>
      </c>
      <c r="D409" s="15" t="n">
        <v>0</v>
      </c>
      <c r="E409" s="14" t="n">
        <v>0.614</v>
      </c>
      <c r="F409" s="14" t="n">
        <v>6.103</v>
      </c>
      <c r="G409" s="14" t="n">
        <v>85.1</v>
      </c>
      <c r="H409" s="14" t="n">
        <v>2.0218</v>
      </c>
      <c r="I409" s="14" t="n">
        <v>24</v>
      </c>
      <c r="J409" s="14" t="n">
        <v>666</v>
      </c>
      <c r="K409" s="14" t="n">
        <v>20.2</v>
      </c>
      <c r="L409" s="14" t="n">
        <v>2.52</v>
      </c>
      <c r="M409" s="14" t="n">
        <v>23.29</v>
      </c>
      <c r="N409" s="14" t="n">
        <v>13.4</v>
      </c>
    </row>
    <row r="410" customFormat="false" ht="15" hidden="false" customHeight="false" outlineLevel="0" collapsed="false">
      <c r="A410" s="12" t="n">
        <v>8.79212</v>
      </c>
      <c r="B410" s="12" t="n">
        <v>0</v>
      </c>
      <c r="C410" s="12" t="n">
        <v>18.1</v>
      </c>
      <c r="D410" s="13" t="n">
        <v>0</v>
      </c>
      <c r="E410" s="12" t="n">
        <v>0.584</v>
      </c>
      <c r="F410" s="12" t="n">
        <v>5.565</v>
      </c>
      <c r="G410" s="12" t="n">
        <v>70.6</v>
      </c>
      <c r="H410" s="12" t="n">
        <v>2.0635</v>
      </c>
      <c r="I410" s="12" t="n">
        <v>24</v>
      </c>
      <c r="J410" s="12" t="n">
        <v>666</v>
      </c>
      <c r="K410" s="12" t="n">
        <v>20.2</v>
      </c>
      <c r="L410" s="12" t="n">
        <v>3.65</v>
      </c>
      <c r="M410" s="12" t="n">
        <v>17.16</v>
      </c>
      <c r="N410" s="12" t="n">
        <v>11.7</v>
      </c>
    </row>
    <row r="411" customFormat="false" ht="15" hidden="false" customHeight="false" outlineLevel="0" collapsed="false">
      <c r="A411" s="14" t="n">
        <v>15.8603</v>
      </c>
      <c r="B411" s="14" t="n">
        <v>0</v>
      </c>
      <c r="C411" s="14" t="n">
        <v>18.1</v>
      </c>
      <c r="D411" s="15" t="n">
        <v>0</v>
      </c>
      <c r="E411" s="14" t="n">
        <v>0.679</v>
      </c>
      <c r="F411" s="14" t="n">
        <v>5.896</v>
      </c>
      <c r="G411" s="14" t="n">
        <v>95.4</v>
      </c>
      <c r="H411" s="14" t="n">
        <v>1.9096</v>
      </c>
      <c r="I411" s="14" t="n">
        <v>24</v>
      </c>
      <c r="J411" s="14" t="n">
        <v>666</v>
      </c>
      <c r="K411" s="14" t="n">
        <v>20.2</v>
      </c>
      <c r="L411" s="14" t="n">
        <v>7.68</v>
      </c>
      <c r="M411" s="14" t="n">
        <v>24.39</v>
      </c>
      <c r="N411" s="14" t="n">
        <v>8.3</v>
      </c>
    </row>
    <row r="412" customFormat="false" ht="15" hidden="false" customHeight="false" outlineLevel="0" collapsed="false">
      <c r="A412" s="12" t="n">
        <v>12.2472</v>
      </c>
      <c r="B412" s="12" t="n">
        <v>0</v>
      </c>
      <c r="C412" s="12" t="n">
        <v>18.1</v>
      </c>
      <c r="D412" s="13" t="n">
        <v>0</v>
      </c>
      <c r="E412" s="12" t="n">
        <v>0.584</v>
      </c>
      <c r="F412" s="12" t="n">
        <v>5.837</v>
      </c>
      <c r="G412" s="12" t="n">
        <v>59.7</v>
      </c>
      <c r="H412" s="12" t="n">
        <v>1.9976</v>
      </c>
      <c r="I412" s="12" t="n">
        <v>24</v>
      </c>
      <c r="J412" s="12" t="n">
        <v>666</v>
      </c>
      <c r="K412" s="12" t="n">
        <v>20.2</v>
      </c>
      <c r="L412" s="12" t="n">
        <v>24.65</v>
      </c>
      <c r="M412" s="12" t="n">
        <v>15.69</v>
      </c>
      <c r="N412" s="12" t="n">
        <v>10.2</v>
      </c>
    </row>
    <row r="413" customFormat="false" ht="15" hidden="false" customHeight="false" outlineLevel="0" collapsed="false">
      <c r="A413" s="14" t="n">
        <v>37.6619</v>
      </c>
      <c r="B413" s="14" t="n">
        <v>0</v>
      </c>
      <c r="C413" s="14" t="n">
        <v>18.1</v>
      </c>
      <c r="D413" s="15" t="n">
        <v>0</v>
      </c>
      <c r="E413" s="14" t="n">
        <v>0.679</v>
      </c>
      <c r="F413" s="14" t="n">
        <v>6.202</v>
      </c>
      <c r="G413" s="14" t="n">
        <v>78.7</v>
      </c>
      <c r="H413" s="14" t="n">
        <v>1.8629</v>
      </c>
      <c r="I413" s="14" t="n">
        <v>24</v>
      </c>
      <c r="J413" s="14" t="n">
        <v>666</v>
      </c>
      <c r="K413" s="14" t="n">
        <v>20.2</v>
      </c>
      <c r="L413" s="14" t="n">
        <v>18.82</v>
      </c>
      <c r="M413" s="14" t="n">
        <v>14.52</v>
      </c>
      <c r="N413" s="14" t="n">
        <v>10.9</v>
      </c>
    </row>
    <row r="414" customFormat="false" ht="15" hidden="false" customHeight="false" outlineLevel="0" collapsed="false">
      <c r="A414" s="12" t="n">
        <v>7.36711</v>
      </c>
      <c r="B414" s="12" t="n">
        <v>0</v>
      </c>
      <c r="C414" s="12" t="n">
        <v>18.1</v>
      </c>
      <c r="D414" s="13" t="n">
        <v>0</v>
      </c>
      <c r="E414" s="12" t="n">
        <v>0.679</v>
      </c>
      <c r="F414" s="12" t="n">
        <v>6.193</v>
      </c>
      <c r="G414" s="12" t="n">
        <v>78.1</v>
      </c>
      <c r="H414" s="12" t="n">
        <v>1.9356</v>
      </c>
      <c r="I414" s="12" t="n">
        <v>24</v>
      </c>
      <c r="J414" s="12" t="n">
        <v>666</v>
      </c>
      <c r="K414" s="12" t="n">
        <v>20.2</v>
      </c>
      <c r="L414" s="12" t="n">
        <v>96.73</v>
      </c>
      <c r="M414" s="12" t="n">
        <v>21.52</v>
      </c>
      <c r="N414" s="12" t="n">
        <v>11</v>
      </c>
    </row>
    <row r="415" customFormat="false" ht="15" hidden="false" customHeight="false" outlineLevel="0" collapsed="false">
      <c r="A415" s="14" t="n">
        <v>9.33889</v>
      </c>
      <c r="B415" s="14" t="n">
        <v>0</v>
      </c>
      <c r="C415" s="14" t="n">
        <v>18.1</v>
      </c>
      <c r="D415" s="15" t="n">
        <v>0</v>
      </c>
      <c r="E415" s="14" t="n">
        <v>0.679</v>
      </c>
      <c r="F415" s="14" t="n">
        <v>6.38</v>
      </c>
      <c r="G415" s="14" t="n">
        <v>95.6</v>
      </c>
      <c r="H415" s="14" t="n">
        <v>1.9682</v>
      </c>
      <c r="I415" s="14" t="n">
        <v>24</v>
      </c>
      <c r="J415" s="14" t="n">
        <v>666</v>
      </c>
      <c r="K415" s="14" t="n">
        <v>20.2</v>
      </c>
      <c r="L415" s="14" t="n">
        <v>60.72</v>
      </c>
      <c r="M415" s="14" t="n">
        <v>24.08</v>
      </c>
      <c r="N415" s="14" t="n">
        <v>9.5</v>
      </c>
    </row>
    <row r="416" customFormat="false" ht="15" hidden="false" customHeight="false" outlineLevel="0" collapsed="false">
      <c r="A416" s="12" t="n">
        <v>8.49213</v>
      </c>
      <c r="B416" s="12" t="n">
        <v>0</v>
      </c>
      <c r="C416" s="12" t="n">
        <v>18.1</v>
      </c>
      <c r="D416" s="13" t="n">
        <v>0</v>
      </c>
      <c r="E416" s="12" t="n">
        <v>0.584</v>
      </c>
      <c r="F416" s="12" t="n">
        <v>6.348</v>
      </c>
      <c r="G416" s="12" t="n">
        <v>86.1</v>
      </c>
      <c r="H416" s="12" t="n">
        <v>2.0527</v>
      </c>
      <c r="I416" s="12" t="n">
        <v>24</v>
      </c>
      <c r="J416" s="12" t="n">
        <v>666</v>
      </c>
      <c r="K416" s="12" t="n">
        <v>20.2</v>
      </c>
      <c r="L416" s="12" t="n">
        <v>83.45</v>
      </c>
      <c r="M416" s="12" t="n">
        <v>17.64</v>
      </c>
      <c r="N416" s="12" t="n">
        <v>14.5</v>
      </c>
    </row>
    <row r="417" customFormat="false" ht="15" hidden="false" customHeight="false" outlineLevel="0" collapsed="false">
      <c r="A417" s="14" t="n">
        <v>10.0623</v>
      </c>
      <c r="B417" s="14" t="n">
        <v>0</v>
      </c>
      <c r="C417" s="14" t="n">
        <v>18.1</v>
      </c>
      <c r="D417" s="15" t="n">
        <v>0</v>
      </c>
      <c r="E417" s="14" t="n">
        <v>0.584</v>
      </c>
      <c r="F417" s="14" t="n">
        <v>6.833</v>
      </c>
      <c r="G417" s="14" t="n">
        <v>94.3</v>
      </c>
      <c r="H417" s="14" t="n">
        <v>2.0882</v>
      </c>
      <c r="I417" s="14" t="n">
        <v>24</v>
      </c>
      <c r="J417" s="14" t="n">
        <v>666</v>
      </c>
      <c r="K417" s="14" t="n">
        <v>20.2</v>
      </c>
      <c r="L417" s="14" t="n">
        <v>81.33</v>
      </c>
      <c r="M417" s="14" t="n">
        <v>19.69</v>
      </c>
      <c r="N417" s="14" t="n">
        <v>14.1</v>
      </c>
    </row>
    <row r="418" customFormat="false" ht="15" hidden="false" customHeight="false" outlineLevel="0" collapsed="false">
      <c r="A418" s="12" t="n">
        <v>6.44405</v>
      </c>
      <c r="B418" s="12" t="n">
        <v>0</v>
      </c>
      <c r="C418" s="12" t="n">
        <v>18.1</v>
      </c>
      <c r="D418" s="13" t="n">
        <v>0</v>
      </c>
      <c r="E418" s="12" t="n">
        <v>0.584</v>
      </c>
      <c r="F418" s="12" t="n">
        <v>6.425</v>
      </c>
      <c r="G418" s="12" t="n">
        <v>74.8</v>
      </c>
      <c r="H418" s="12" t="n">
        <v>2.2004</v>
      </c>
      <c r="I418" s="12" t="n">
        <v>24</v>
      </c>
      <c r="J418" s="12" t="n">
        <v>666</v>
      </c>
      <c r="K418" s="12" t="n">
        <v>20.2</v>
      </c>
      <c r="L418" s="12" t="n">
        <v>97.95</v>
      </c>
      <c r="M418" s="12" t="n">
        <v>12.03</v>
      </c>
      <c r="N418" s="12" t="n">
        <v>16.1</v>
      </c>
    </row>
    <row r="419" customFormat="false" ht="15" hidden="false" customHeight="false" outlineLevel="0" collapsed="false">
      <c r="A419" s="14" t="n">
        <v>5.58107</v>
      </c>
      <c r="B419" s="14" t="n">
        <v>0</v>
      </c>
      <c r="C419" s="14" t="n">
        <v>18.1</v>
      </c>
      <c r="D419" s="15" t="n">
        <v>0</v>
      </c>
      <c r="E419" s="14" t="n">
        <v>0.713</v>
      </c>
      <c r="F419" s="14" t="n">
        <v>6.436</v>
      </c>
      <c r="G419" s="14" t="n">
        <v>87.9</v>
      </c>
      <c r="H419" s="14" t="n">
        <v>2.3158</v>
      </c>
      <c r="I419" s="14" t="n">
        <v>24</v>
      </c>
      <c r="J419" s="14" t="n">
        <v>666</v>
      </c>
      <c r="K419" s="14" t="n">
        <v>20.2</v>
      </c>
      <c r="L419" s="14" t="n">
        <v>100.19</v>
      </c>
      <c r="M419" s="14" t="n">
        <v>16.22</v>
      </c>
      <c r="N419" s="14" t="n">
        <v>14.3</v>
      </c>
    </row>
    <row r="420" customFormat="false" ht="15" hidden="false" customHeight="false" outlineLevel="0" collapsed="false">
      <c r="A420" s="12" t="n">
        <v>13.9134</v>
      </c>
      <c r="B420" s="12" t="n">
        <v>0</v>
      </c>
      <c r="C420" s="12" t="n">
        <v>18.1</v>
      </c>
      <c r="D420" s="13" t="n">
        <v>0</v>
      </c>
      <c r="E420" s="12" t="n">
        <v>0.713</v>
      </c>
      <c r="F420" s="12" t="n">
        <v>6.208</v>
      </c>
      <c r="G420" s="12" t="n">
        <v>95</v>
      </c>
      <c r="H420" s="12" t="n">
        <v>2.2222</v>
      </c>
      <c r="I420" s="12" t="n">
        <v>24</v>
      </c>
      <c r="J420" s="12" t="n">
        <v>666</v>
      </c>
      <c r="K420" s="12" t="n">
        <v>20.2</v>
      </c>
      <c r="L420" s="12" t="n">
        <v>100.63</v>
      </c>
      <c r="M420" s="12" t="n">
        <v>15.17</v>
      </c>
      <c r="N420" s="12" t="n">
        <v>11.7</v>
      </c>
    </row>
    <row r="421" customFormat="false" ht="15" hidden="false" customHeight="false" outlineLevel="0" collapsed="false">
      <c r="A421" s="14" t="n">
        <v>11.1604</v>
      </c>
      <c r="B421" s="14" t="n">
        <v>0</v>
      </c>
      <c r="C421" s="14" t="n">
        <v>18.1</v>
      </c>
      <c r="D421" s="15" t="n">
        <v>0</v>
      </c>
      <c r="E421" s="14" t="n">
        <v>0.74</v>
      </c>
      <c r="F421" s="14" t="n">
        <v>6.629</v>
      </c>
      <c r="G421" s="14" t="n">
        <v>94.6</v>
      </c>
      <c r="H421" s="14" t="n">
        <v>2.1247</v>
      </c>
      <c r="I421" s="14" t="n">
        <v>24</v>
      </c>
      <c r="J421" s="14" t="n">
        <v>666</v>
      </c>
      <c r="K421" s="14" t="n">
        <v>20.2</v>
      </c>
      <c r="L421" s="14" t="n">
        <v>109.85</v>
      </c>
      <c r="M421" s="14" t="n">
        <v>23.27</v>
      </c>
      <c r="N421" s="14" t="n">
        <v>13.4</v>
      </c>
    </row>
    <row r="422" customFormat="false" ht="15" hidden="false" customHeight="false" outlineLevel="0" collapsed="false">
      <c r="A422" s="12" t="n">
        <v>14.4208</v>
      </c>
      <c r="B422" s="12" t="n">
        <v>0</v>
      </c>
      <c r="C422" s="12" t="n">
        <v>18.1</v>
      </c>
      <c r="D422" s="13" t="n">
        <v>0</v>
      </c>
      <c r="E422" s="12" t="n">
        <v>0.74</v>
      </c>
      <c r="F422" s="12" t="n">
        <v>6.461</v>
      </c>
      <c r="G422" s="12" t="n">
        <v>93.3</v>
      </c>
      <c r="H422" s="12" t="n">
        <v>2.0026</v>
      </c>
      <c r="I422" s="12" t="n">
        <v>24</v>
      </c>
      <c r="J422" s="12" t="n">
        <v>666</v>
      </c>
      <c r="K422" s="12" t="n">
        <v>20.2</v>
      </c>
      <c r="L422" s="12" t="n">
        <v>27.49</v>
      </c>
      <c r="M422" s="12" t="n">
        <v>18.05</v>
      </c>
      <c r="N422" s="12" t="n">
        <v>9.6</v>
      </c>
    </row>
    <row r="423" customFormat="false" ht="15" hidden="false" customHeight="false" outlineLevel="0" collapsed="false">
      <c r="A423" s="14" t="n">
        <v>15.1772</v>
      </c>
      <c r="B423" s="14" t="n">
        <v>0</v>
      </c>
      <c r="C423" s="14" t="n">
        <v>18.1</v>
      </c>
      <c r="D423" s="15" t="n">
        <v>0</v>
      </c>
      <c r="E423" s="14" t="n">
        <v>0.74</v>
      </c>
      <c r="F423" s="14" t="n">
        <v>6.152</v>
      </c>
      <c r="G423" s="14" t="n">
        <v>100</v>
      </c>
      <c r="H423" s="14" t="n">
        <v>1.9142</v>
      </c>
      <c r="I423" s="14" t="n">
        <v>24</v>
      </c>
      <c r="J423" s="14" t="n">
        <v>666</v>
      </c>
      <c r="K423" s="14" t="n">
        <v>20.2</v>
      </c>
      <c r="L423" s="14" t="n">
        <v>9.32</v>
      </c>
      <c r="M423" s="14" t="n">
        <v>26.45</v>
      </c>
      <c r="N423" s="14" t="n">
        <v>8.7</v>
      </c>
    </row>
    <row r="424" customFormat="false" ht="15" hidden="false" customHeight="false" outlineLevel="0" collapsed="false">
      <c r="A424" s="12" t="n">
        <v>13.6781</v>
      </c>
      <c r="B424" s="12" t="n">
        <v>0</v>
      </c>
      <c r="C424" s="12" t="n">
        <v>18.1</v>
      </c>
      <c r="D424" s="13" t="n">
        <v>0</v>
      </c>
      <c r="E424" s="12" t="n">
        <v>0.74</v>
      </c>
      <c r="F424" s="12" t="n">
        <v>5.935</v>
      </c>
      <c r="G424" s="12" t="n">
        <v>87.9</v>
      </c>
      <c r="H424" s="12" t="n">
        <v>1.8206</v>
      </c>
      <c r="I424" s="12" t="n">
        <v>24</v>
      </c>
      <c r="J424" s="12" t="n">
        <v>666</v>
      </c>
      <c r="K424" s="12" t="n">
        <v>20.2</v>
      </c>
      <c r="L424" s="12" t="n">
        <v>68.95</v>
      </c>
      <c r="M424" s="12" t="n">
        <v>34.02</v>
      </c>
      <c r="N424" s="12" t="n">
        <v>8.4</v>
      </c>
    </row>
    <row r="425" customFormat="false" ht="15" hidden="false" customHeight="false" outlineLevel="0" collapsed="false">
      <c r="A425" s="14" t="n">
        <v>9.39063</v>
      </c>
      <c r="B425" s="14" t="n">
        <v>0</v>
      </c>
      <c r="C425" s="14" t="n">
        <v>18.1</v>
      </c>
      <c r="D425" s="15" t="n">
        <v>0</v>
      </c>
      <c r="E425" s="14" t="n">
        <v>0.74</v>
      </c>
      <c r="F425" s="14" t="n">
        <v>5.627</v>
      </c>
      <c r="G425" s="14" t="n">
        <v>93.9</v>
      </c>
      <c r="H425" s="14" t="n">
        <v>1.8172</v>
      </c>
      <c r="I425" s="14" t="n">
        <v>24</v>
      </c>
      <c r="J425" s="14" t="n">
        <v>666</v>
      </c>
      <c r="K425" s="14" t="n">
        <v>20.2</v>
      </c>
      <c r="L425" s="14" t="n">
        <v>396.9</v>
      </c>
      <c r="M425" s="14" t="n">
        <v>22.88</v>
      </c>
      <c r="N425" s="14" t="n">
        <v>12.8</v>
      </c>
    </row>
    <row r="426" customFormat="false" ht="15" hidden="false" customHeight="false" outlineLevel="0" collapsed="false">
      <c r="A426" s="12" t="n">
        <v>22.0511</v>
      </c>
      <c r="B426" s="12" t="n">
        <v>0</v>
      </c>
      <c r="C426" s="12" t="n">
        <v>18.1</v>
      </c>
      <c r="D426" s="13" t="n">
        <v>0</v>
      </c>
      <c r="E426" s="12" t="n">
        <v>0.74</v>
      </c>
      <c r="F426" s="12" t="n">
        <v>5.818</v>
      </c>
      <c r="G426" s="12" t="n">
        <v>92.4</v>
      </c>
      <c r="H426" s="12" t="n">
        <v>1.8662</v>
      </c>
      <c r="I426" s="12" t="n">
        <v>24</v>
      </c>
      <c r="J426" s="12" t="n">
        <v>666</v>
      </c>
      <c r="K426" s="12" t="n">
        <v>20.2</v>
      </c>
      <c r="L426" s="12" t="n">
        <v>391.45</v>
      </c>
      <c r="M426" s="12" t="n">
        <v>22.11</v>
      </c>
      <c r="N426" s="12" t="n">
        <v>10.5</v>
      </c>
    </row>
    <row r="427" customFormat="false" ht="15" hidden="false" customHeight="false" outlineLevel="0" collapsed="false">
      <c r="A427" s="14" t="n">
        <v>9.72418</v>
      </c>
      <c r="B427" s="14" t="n">
        <v>0</v>
      </c>
      <c r="C427" s="14" t="n">
        <v>18.1</v>
      </c>
      <c r="D427" s="15" t="n">
        <v>0</v>
      </c>
      <c r="E427" s="14" t="n">
        <v>0.74</v>
      </c>
      <c r="F427" s="14" t="n">
        <v>6.406</v>
      </c>
      <c r="G427" s="14" t="n">
        <v>97.2</v>
      </c>
      <c r="H427" s="14" t="n">
        <v>2.0651</v>
      </c>
      <c r="I427" s="14" t="n">
        <v>24</v>
      </c>
      <c r="J427" s="14" t="n">
        <v>666</v>
      </c>
      <c r="K427" s="14" t="n">
        <v>20.2</v>
      </c>
      <c r="L427" s="14" t="n">
        <v>385.96</v>
      </c>
      <c r="M427" s="14" t="n">
        <v>19.52</v>
      </c>
      <c r="N427" s="14" t="n">
        <v>17.1</v>
      </c>
    </row>
    <row r="428" customFormat="false" ht="15" hidden="false" customHeight="false" outlineLevel="0" collapsed="false">
      <c r="A428" s="12" t="n">
        <v>5.66637</v>
      </c>
      <c r="B428" s="12" t="n">
        <v>0</v>
      </c>
      <c r="C428" s="12" t="n">
        <v>18.1</v>
      </c>
      <c r="D428" s="13" t="n">
        <v>0</v>
      </c>
      <c r="E428" s="12" t="n">
        <v>0.74</v>
      </c>
      <c r="F428" s="12" t="n">
        <v>6.219</v>
      </c>
      <c r="G428" s="12" t="n">
        <v>100</v>
      </c>
      <c r="H428" s="12" t="n">
        <v>2.0048</v>
      </c>
      <c r="I428" s="12" t="n">
        <v>24</v>
      </c>
      <c r="J428" s="12" t="n">
        <v>666</v>
      </c>
      <c r="K428" s="12" t="n">
        <v>20.2</v>
      </c>
      <c r="L428" s="12" t="n">
        <v>395.69</v>
      </c>
      <c r="M428" s="12" t="n">
        <v>16.59</v>
      </c>
      <c r="N428" s="12" t="n">
        <v>18.4</v>
      </c>
    </row>
    <row r="429" customFormat="false" ht="15" hidden="false" customHeight="false" outlineLevel="0" collapsed="false">
      <c r="A429" s="14" t="n">
        <v>9.96654</v>
      </c>
      <c r="B429" s="14" t="n">
        <v>0</v>
      </c>
      <c r="C429" s="14" t="n">
        <v>18.1</v>
      </c>
      <c r="D429" s="15" t="n">
        <v>0</v>
      </c>
      <c r="E429" s="14" t="n">
        <v>0.74</v>
      </c>
      <c r="F429" s="14" t="n">
        <v>6.485</v>
      </c>
      <c r="G429" s="14" t="n">
        <v>100</v>
      </c>
      <c r="H429" s="14" t="n">
        <v>1.9784</v>
      </c>
      <c r="I429" s="14" t="n">
        <v>24</v>
      </c>
      <c r="J429" s="14" t="n">
        <v>666</v>
      </c>
      <c r="K429" s="14" t="n">
        <v>20.2</v>
      </c>
      <c r="L429" s="14" t="n">
        <v>386.73</v>
      </c>
      <c r="M429" s="14" t="n">
        <v>18.85</v>
      </c>
      <c r="N429" s="14" t="n">
        <v>15.4</v>
      </c>
    </row>
    <row r="430" customFormat="false" ht="15" hidden="false" customHeight="false" outlineLevel="0" collapsed="false">
      <c r="A430" s="12" t="n">
        <v>12.8023</v>
      </c>
      <c r="B430" s="12" t="n">
        <v>0</v>
      </c>
      <c r="C430" s="12" t="n">
        <v>18.1</v>
      </c>
      <c r="D430" s="13" t="n">
        <v>0</v>
      </c>
      <c r="E430" s="12" t="n">
        <v>0.74</v>
      </c>
      <c r="F430" s="12" t="n">
        <v>5.854</v>
      </c>
      <c r="G430" s="12" t="n">
        <v>96.6</v>
      </c>
      <c r="H430" s="12" t="n">
        <v>1.8956</v>
      </c>
      <c r="I430" s="12" t="n">
        <v>24</v>
      </c>
      <c r="J430" s="12" t="n">
        <v>666</v>
      </c>
      <c r="K430" s="12" t="n">
        <v>20.2</v>
      </c>
      <c r="L430" s="12" t="n">
        <v>240.52</v>
      </c>
      <c r="M430" s="12" t="n">
        <v>23.79</v>
      </c>
      <c r="N430" s="12" t="n">
        <v>10.8</v>
      </c>
    </row>
    <row r="431" customFormat="false" ht="15" hidden="false" customHeight="false" outlineLevel="0" collapsed="false">
      <c r="A431" s="14" t="n">
        <v>10.6718</v>
      </c>
      <c r="B431" s="14" t="n">
        <v>0</v>
      </c>
      <c r="C431" s="14" t="n">
        <v>18.1</v>
      </c>
      <c r="D431" s="15" t="n">
        <v>0</v>
      </c>
      <c r="E431" s="14" t="n">
        <v>0.74</v>
      </c>
      <c r="F431" s="14" t="n">
        <v>6.459</v>
      </c>
      <c r="G431" s="14" t="n">
        <v>94.8</v>
      </c>
      <c r="H431" s="14" t="n">
        <v>1.9879</v>
      </c>
      <c r="I431" s="14" t="n">
        <v>24</v>
      </c>
      <c r="J431" s="14" t="n">
        <v>666</v>
      </c>
      <c r="K431" s="14" t="n">
        <v>20.2</v>
      </c>
      <c r="L431" s="14" t="n">
        <v>43.06</v>
      </c>
      <c r="M431" s="14" t="n">
        <v>23.98</v>
      </c>
      <c r="N431" s="14" t="n">
        <v>11.8</v>
      </c>
    </row>
    <row r="432" customFormat="false" ht="15" hidden="false" customHeight="false" outlineLevel="0" collapsed="false">
      <c r="A432" s="12" t="n">
        <v>6.28807</v>
      </c>
      <c r="B432" s="12" t="n">
        <v>0</v>
      </c>
      <c r="C432" s="12" t="n">
        <v>18.1</v>
      </c>
      <c r="D432" s="13" t="n">
        <v>0</v>
      </c>
      <c r="E432" s="12" t="n">
        <v>0.74</v>
      </c>
      <c r="F432" s="12" t="n">
        <v>6.341</v>
      </c>
      <c r="G432" s="12" t="n">
        <v>96.4</v>
      </c>
      <c r="H432" s="12" t="n">
        <v>2.072</v>
      </c>
      <c r="I432" s="12" t="n">
        <v>24</v>
      </c>
      <c r="J432" s="12" t="n">
        <v>666</v>
      </c>
      <c r="K432" s="12" t="n">
        <v>20.2</v>
      </c>
      <c r="L432" s="12" t="n">
        <v>318.01</v>
      </c>
      <c r="M432" s="12" t="n">
        <v>17.79</v>
      </c>
      <c r="N432" s="12" t="n">
        <v>14.9</v>
      </c>
    </row>
    <row r="433" customFormat="false" ht="15" hidden="false" customHeight="false" outlineLevel="0" collapsed="false">
      <c r="A433" s="14" t="n">
        <v>9.92485</v>
      </c>
      <c r="B433" s="14" t="n">
        <v>0</v>
      </c>
      <c r="C433" s="14" t="n">
        <v>18.1</v>
      </c>
      <c r="D433" s="15" t="n">
        <v>0</v>
      </c>
      <c r="E433" s="14" t="n">
        <v>0.74</v>
      </c>
      <c r="F433" s="14" t="n">
        <v>6.251</v>
      </c>
      <c r="G433" s="14" t="n">
        <v>96.6</v>
      </c>
      <c r="H433" s="14" t="n">
        <v>2.198</v>
      </c>
      <c r="I433" s="14" t="n">
        <v>24</v>
      </c>
      <c r="J433" s="14" t="n">
        <v>666</v>
      </c>
      <c r="K433" s="14" t="n">
        <v>20.2</v>
      </c>
      <c r="L433" s="14" t="n">
        <v>388.52</v>
      </c>
      <c r="M433" s="14" t="n">
        <v>16.44</v>
      </c>
      <c r="N433" s="14" t="n">
        <v>12.6</v>
      </c>
    </row>
    <row r="434" customFormat="false" ht="15" hidden="false" customHeight="false" outlineLevel="0" collapsed="false">
      <c r="A434" s="12" t="n">
        <v>9.32909</v>
      </c>
      <c r="B434" s="12" t="n">
        <v>0</v>
      </c>
      <c r="C434" s="12" t="n">
        <v>18.1</v>
      </c>
      <c r="D434" s="13" t="n">
        <v>0</v>
      </c>
      <c r="E434" s="12" t="n">
        <v>0.713</v>
      </c>
      <c r="F434" s="12" t="n">
        <v>6.185</v>
      </c>
      <c r="G434" s="12" t="n">
        <v>98.7</v>
      </c>
      <c r="H434" s="12" t="n">
        <v>2.2616</v>
      </c>
      <c r="I434" s="12" t="n">
        <v>24</v>
      </c>
      <c r="J434" s="12" t="n">
        <v>666</v>
      </c>
      <c r="K434" s="12" t="n">
        <v>20.2</v>
      </c>
      <c r="L434" s="12" t="n">
        <v>396.9</v>
      </c>
      <c r="M434" s="12" t="n">
        <v>18.13</v>
      </c>
      <c r="N434" s="12" t="n">
        <v>14.1</v>
      </c>
    </row>
    <row r="435" customFormat="false" ht="15" hidden="false" customHeight="false" outlineLevel="0" collapsed="false">
      <c r="A435" s="14" t="n">
        <v>7.52601</v>
      </c>
      <c r="B435" s="14" t="n">
        <v>0</v>
      </c>
      <c r="C435" s="14" t="n">
        <v>18.1</v>
      </c>
      <c r="D435" s="15" t="n">
        <v>0</v>
      </c>
      <c r="E435" s="14" t="n">
        <v>0.713</v>
      </c>
      <c r="F435" s="14" t="n">
        <v>6.417</v>
      </c>
      <c r="G435" s="14" t="n">
        <v>98.3</v>
      </c>
      <c r="H435" s="14" t="n">
        <v>2.185</v>
      </c>
      <c r="I435" s="14" t="n">
        <v>24</v>
      </c>
      <c r="J435" s="14" t="n">
        <v>666</v>
      </c>
      <c r="K435" s="14" t="n">
        <v>20.2</v>
      </c>
      <c r="L435" s="14" t="n">
        <v>304.21</v>
      </c>
      <c r="M435" s="14" t="n">
        <v>19.31</v>
      </c>
      <c r="N435" s="14" t="n">
        <v>13</v>
      </c>
    </row>
    <row r="436" customFormat="false" ht="15" hidden="false" customHeight="false" outlineLevel="0" collapsed="false">
      <c r="A436" s="12" t="n">
        <v>6.71772</v>
      </c>
      <c r="B436" s="12" t="n">
        <v>0</v>
      </c>
      <c r="C436" s="12" t="n">
        <v>18.1</v>
      </c>
      <c r="D436" s="13" t="n">
        <v>0</v>
      </c>
      <c r="E436" s="12" t="n">
        <v>0.713</v>
      </c>
      <c r="F436" s="12" t="n">
        <v>6.749</v>
      </c>
      <c r="G436" s="12" t="n">
        <v>92.6</v>
      </c>
      <c r="H436" s="12" t="n">
        <v>2.3236</v>
      </c>
      <c r="I436" s="12" t="n">
        <v>24</v>
      </c>
      <c r="J436" s="12" t="n">
        <v>666</v>
      </c>
      <c r="K436" s="12" t="n">
        <v>20.2</v>
      </c>
      <c r="L436" s="12" t="n">
        <v>0.32</v>
      </c>
      <c r="M436" s="12" t="n">
        <v>17.44</v>
      </c>
      <c r="N436" s="12" t="n">
        <v>13.4</v>
      </c>
    </row>
    <row r="437" customFormat="false" ht="15" hidden="false" customHeight="false" outlineLevel="0" collapsed="false">
      <c r="A437" s="14" t="n">
        <v>5.44114</v>
      </c>
      <c r="B437" s="14" t="n">
        <v>0</v>
      </c>
      <c r="C437" s="14" t="n">
        <v>18.1</v>
      </c>
      <c r="D437" s="15" t="n">
        <v>0</v>
      </c>
      <c r="E437" s="14" t="n">
        <v>0.713</v>
      </c>
      <c r="F437" s="14" t="n">
        <v>6.655</v>
      </c>
      <c r="G437" s="14" t="n">
        <v>98.2</v>
      </c>
      <c r="H437" s="14" t="n">
        <v>2.3552</v>
      </c>
      <c r="I437" s="14" t="n">
        <v>24</v>
      </c>
      <c r="J437" s="14" t="n">
        <v>666</v>
      </c>
      <c r="K437" s="14" t="n">
        <v>20.2</v>
      </c>
      <c r="L437" s="14" t="n">
        <v>355.29</v>
      </c>
      <c r="M437" s="14" t="n">
        <v>17.73</v>
      </c>
      <c r="N437" s="14" t="n">
        <v>15.2</v>
      </c>
    </row>
    <row r="438" customFormat="false" ht="15" hidden="false" customHeight="false" outlineLevel="0" collapsed="false">
      <c r="A438" s="12" t="n">
        <v>5.09017</v>
      </c>
      <c r="B438" s="12" t="n">
        <v>0</v>
      </c>
      <c r="C438" s="12" t="n">
        <v>18.1</v>
      </c>
      <c r="D438" s="13" t="n">
        <v>0</v>
      </c>
      <c r="E438" s="12" t="n">
        <v>0.713</v>
      </c>
      <c r="F438" s="12" t="n">
        <v>6.297</v>
      </c>
      <c r="G438" s="12" t="n">
        <v>91.8</v>
      </c>
      <c r="H438" s="12" t="n">
        <v>2.3682</v>
      </c>
      <c r="I438" s="12" t="n">
        <v>24</v>
      </c>
      <c r="J438" s="12" t="n">
        <v>666</v>
      </c>
      <c r="K438" s="12" t="n">
        <v>20.2</v>
      </c>
      <c r="L438" s="12" t="n">
        <v>385.09</v>
      </c>
      <c r="M438" s="12" t="n">
        <v>17.27</v>
      </c>
      <c r="N438" s="12" t="n">
        <v>16.1</v>
      </c>
    </row>
    <row r="439" customFormat="false" ht="15" hidden="false" customHeight="false" outlineLevel="0" collapsed="false">
      <c r="A439" s="14" t="n">
        <v>8.24809</v>
      </c>
      <c r="B439" s="14" t="n">
        <v>0</v>
      </c>
      <c r="C439" s="14" t="n">
        <v>18.1</v>
      </c>
      <c r="D439" s="15" t="n">
        <v>0</v>
      </c>
      <c r="E439" s="14" t="n">
        <v>0.713</v>
      </c>
      <c r="F439" s="14" t="n">
        <v>7.393</v>
      </c>
      <c r="G439" s="14" t="n">
        <v>99.3</v>
      </c>
      <c r="H439" s="14" t="n">
        <v>2.4527</v>
      </c>
      <c r="I439" s="14" t="n">
        <v>24</v>
      </c>
      <c r="J439" s="14" t="n">
        <v>666</v>
      </c>
      <c r="K439" s="14" t="n">
        <v>20.2</v>
      </c>
      <c r="L439" s="14" t="n">
        <v>375.87</v>
      </c>
      <c r="M439" s="14" t="n">
        <v>16.74</v>
      </c>
      <c r="N439" s="14" t="n">
        <v>17.8</v>
      </c>
    </row>
    <row r="440" customFormat="false" ht="15" hidden="false" customHeight="false" outlineLevel="0" collapsed="false">
      <c r="A440" s="12" t="n">
        <v>9.51363</v>
      </c>
      <c r="B440" s="12" t="n">
        <v>0</v>
      </c>
      <c r="C440" s="12" t="n">
        <v>18.1</v>
      </c>
      <c r="D440" s="13" t="n">
        <v>0</v>
      </c>
      <c r="E440" s="12" t="n">
        <v>0.713</v>
      </c>
      <c r="F440" s="12" t="n">
        <v>6.728</v>
      </c>
      <c r="G440" s="12" t="n">
        <v>94.1</v>
      </c>
      <c r="H440" s="12" t="n">
        <v>2.4961</v>
      </c>
      <c r="I440" s="12" t="n">
        <v>24</v>
      </c>
      <c r="J440" s="12" t="n">
        <v>666</v>
      </c>
      <c r="K440" s="12" t="n">
        <v>20.2</v>
      </c>
      <c r="L440" s="12" t="n">
        <v>6.68</v>
      </c>
      <c r="M440" s="12" t="n">
        <v>18.71</v>
      </c>
      <c r="N440" s="12" t="n">
        <v>14.9</v>
      </c>
    </row>
    <row r="441" customFormat="false" ht="15" hidden="false" customHeight="false" outlineLevel="0" collapsed="false">
      <c r="A441" s="14" t="n">
        <v>4.75237</v>
      </c>
      <c r="B441" s="14" t="n">
        <v>0</v>
      </c>
      <c r="C441" s="14" t="n">
        <v>18.1</v>
      </c>
      <c r="D441" s="15" t="n">
        <v>0</v>
      </c>
      <c r="E441" s="14" t="n">
        <v>0.713</v>
      </c>
      <c r="F441" s="14" t="n">
        <v>6.525</v>
      </c>
      <c r="G441" s="14" t="n">
        <v>86.5</v>
      </c>
      <c r="H441" s="14" t="n">
        <v>2.4358</v>
      </c>
      <c r="I441" s="14" t="n">
        <v>24</v>
      </c>
      <c r="J441" s="14" t="n">
        <v>666</v>
      </c>
      <c r="K441" s="14" t="n">
        <v>20.2</v>
      </c>
      <c r="L441" s="14" t="n">
        <v>50.92</v>
      </c>
      <c r="M441" s="14" t="n">
        <v>18.13</v>
      </c>
      <c r="N441" s="14" t="n">
        <v>14.1</v>
      </c>
    </row>
    <row r="442" customFormat="false" ht="15" hidden="false" customHeight="false" outlineLevel="0" collapsed="false">
      <c r="A442" s="12" t="n">
        <v>4.66883</v>
      </c>
      <c r="B442" s="12" t="n">
        <v>0</v>
      </c>
      <c r="C442" s="12" t="n">
        <v>18.1</v>
      </c>
      <c r="D442" s="13" t="n">
        <v>0</v>
      </c>
      <c r="E442" s="12" t="n">
        <v>0.713</v>
      </c>
      <c r="F442" s="12" t="n">
        <v>5.976</v>
      </c>
      <c r="G442" s="12" t="n">
        <v>87.9</v>
      </c>
      <c r="H442" s="12" t="n">
        <v>2.5806</v>
      </c>
      <c r="I442" s="12" t="n">
        <v>24</v>
      </c>
      <c r="J442" s="12" t="n">
        <v>666</v>
      </c>
      <c r="K442" s="12" t="n">
        <v>20.2</v>
      </c>
      <c r="L442" s="12" t="n">
        <v>10.48</v>
      </c>
      <c r="M442" s="12" t="n">
        <v>19.01</v>
      </c>
      <c r="N442" s="12" t="n">
        <v>12.7</v>
      </c>
    </row>
    <row r="443" customFormat="false" ht="15" hidden="false" customHeight="false" outlineLevel="0" collapsed="false">
      <c r="A443" s="14" t="n">
        <v>8.20058</v>
      </c>
      <c r="B443" s="14" t="n">
        <v>0</v>
      </c>
      <c r="C443" s="14" t="n">
        <v>18.1</v>
      </c>
      <c r="D443" s="15" t="n">
        <v>0</v>
      </c>
      <c r="E443" s="14" t="n">
        <v>0.713</v>
      </c>
      <c r="F443" s="14" t="n">
        <v>5.936</v>
      </c>
      <c r="G443" s="14" t="n">
        <v>80.3</v>
      </c>
      <c r="H443" s="14" t="n">
        <v>2.7792</v>
      </c>
      <c r="I443" s="14" t="n">
        <v>24</v>
      </c>
      <c r="J443" s="14" t="n">
        <v>666</v>
      </c>
      <c r="K443" s="14" t="n">
        <v>20.2</v>
      </c>
      <c r="L443" s="14" t="n">
        <v>3.5</v>
      </c>
      <c r="M443" s="14" t="n">
        <v>16.94</v>
      </c>
      <c r="N443" s="14" t="n">
        <v>13.5</v>
      </c>
    </row>
    <row r="444" customFormat="false" ht="15" hidden="false" customHeight="false" outlineLevel="0" collapsed="false">
      <c r="A444" s="12" t="n">
        <v>7.75223</v>
      </c>
      <c r="B444" s="12" t="n">
        <v>0</v>
      </c>
      <c r="C444" s="12" t="n">
        <v>18.1</v>
      </c>
      <c r="D444" s="13" t="n">
        <v>0</v>
      </c>
      <c r="E444" s="12" t="n">
        <v>0.713</v>
      </c>
      <c r="F444" s="12" t="n">
        <v>6.301</v>
      </c>
      <c r="G444" s="12" t="n">
        <v>83.7</v>
      </c>
      <c r="H444" s="12" t="n">
        <v>2.7831</v>
      </c>
      <c r="I444" s="12" t="n">
        <v>24</v>
      </c>
      <c r="J444" s="12" t="n">
        <v>666</v>
      </c>
      <c r="K444" s="12" t="n">
        <v>20.2</v>
      </c>
      <c r="L444" s="12" t="n">
        <v>272.21</v>
      </c>
      <c r="M444" s="12" t="n">
        <v>16.23</v>
      </c>
      <c r="N444" s="12" t="n">
        <v>14.9</v>
      </c>
    </row>
    <row r="445" customFormat="false" ht="15" hidden="false" customHeight="false" outlineLevel="0" collapsed="false">
      <c r="A445" s="14" t="n">
        <v>6.80117</v>
      </c>
      <c r="B445" s="14" t="n">
        <v>0</v>
      </c>
      <c r="C445" s="14" t="n">
        <v>18.1</v>
      </c>
      <c r="D445" s="15" t="n">
        <v>0</v>
      </c>
      <c r="E445" s="14" t="n">
        <v>0.713</v>
      </c>
      <c r="F445" s="14" t="n">
        <v>6.081</v>
      </c>
      <c r="G445" s="14" t="n">
        <v>84.4</v>
      </c>
      <c r="H445" s="14" t="n">
        <v>2.7175</v>
      </c>
      <c r="I445" s="14" t="n">
        <v>24</v>
      </c>
      <c r="J445" s="14" t="n">
        <v>666</v>
      </c>
      <c r="K445" s="14" t="n">
        <v>20.2</v>
      </c>
      <c r="L445" s="14" t="n">
        <v>396.9</v>
      </c>
      <c r="M445" s="14" t="n">
        <v>14.7</v>
      </c>
      <c r="N445" s="14" t="n">
        <v>20</v>
      </c>
    </row>
    <row r="446" customFormat="false" ht="15" hidden="false" customHeight="false" outlineLevel="0" collapsed="false">
      <c r="A446" s="12" t="n">
        <v>4.81213</v>
      </c>
      <c r="B446" s="12" t="n">
        <v>0</v>
      </c>
      <c r="C446" s="12" t="n">
        <v>18.1</v>
      </c>
      <c r="D446" s="13" t="n">
        <v>0</v>
      </c>
      <c r="E446" s="12" t="n">
        <v>0.713</v>
      </c>
      <c r="F446" s="12" t="n">
        <v>6.701</v>
      </c>
      <c r="G446" s="12" t="n">
        <v>90</v>
      </c>
      <c r="H446" s="12" t="n">
        <v>2.5975</v>
      </c>
      <c r="I446" s="12" t="n">
        <v>24</v>
      </c>
      <c r="J446" s="12" t="n">
        <v>666</v>
      </c>
      <c r="K446" s="12" t="n">
        <v>20.2</v>
      </c>
      <c r="L446" s="12" t="n">
        <v>255.23</v>
      </c>
      <c r="M446" s="12" t="n">
        <v>16.42</v>
      </c>
      <c r="N446" s="12" t="n">
        <v>16.4</v>
      </c>
    </row>
    <row r="447" customFormat="false" ht="15" hidden="false" customHeight="false" outlineLevel="0" collapsed="false">
      <c r="A447" s="14" t="n">
        <v>3.69311</v>
      </c>
      <c r="B447" s="14" t="n">
        <v>0</v>
      </c>
      <c r="C447" s="14" t="n">
        <v>18.1</v>
      </c>
      <c r="D447" s="15" t="n">
        <v>0</v>
      </c>
      <c r="E447" s="14" t="n">
        <v>0.713</v>
      </c>
      <c r="F447" s="14" t="n">
        <v>6.376</v>
      </c>
      <c r="G447" s="14" t="n">
        <v>88.4</v>
      </c>
      <c r="H447" s="14" t="n">
        <v>2.5671</v>
      </c>
      <c r="I447" s="14" t="n">
        <v>24</v>
      </c>
      <c r="J447" s="14" t="n">
        <v>666</v>
      </c>
      <c r="K447" s="14" t="n">
        <v>20.2</v>
      </c>
      <c r="L447" s="14" t="n">
        <v>391.43</v>
      </c>
      <c r="M447" s="14" t="n">
        <v>14.65</v>
      </c>
      <c r="N447" s="14" t="n">
        <v>17.7</v>
      </c>
    </row>
    <row r="448" customFormat="false" ht="15" hidden="false" customHeight="false" outlineLevel="0" collapsed="false">
      <c r="A448" s="12" t="n">
        <v>6.65492</v>
      </c>
      <c r="B448" s="12" t="n">
        <v>0</v>
      </c>
      <c r="C448" s="12" t="n">
        <v>18.1</v>
      </c>
      <c r="D448" s="13" t="n">
        <v>0</v>
      </c>
      <c r="E448" s="12" t="n">
        <v>0.713</v>
      </c>
      <c r="F448" s="12" t="n">
        <v>6.317</v>
      </c>
      <c r="G448" s="12" t="n">
        <v>83</v>
      </c>
      <c r="H448" s="12" t="n">
        <v>2.7344</v>
      </c>
      <c r="I448" s="12" t="n">
        <v>24</v>
      </c>
      <c r="J448" s="12" t="n">
        <v>666</v>
      </c>
      <c r="K448" s="12" t="n">
        <v>20.2</v>
      </c>
      <c r="L448" s="12" t="n">
        <v>396.9</v>
      </c>
      <c r="M448" s="12" t="n">
        <v>13.99</v>
      </c>
      <c r="N448" s="12" t="n">
        <v>19.5</v>
      </c>
    </row>
    <row r="449" customFormat="false" ht="15" hidden="false" customHeight="false" outlineLevel="0" collapsed="false">
      <c r="A449" s="14" t="n">
        <v>5.82115</v>
      </c>
      <c r="B449" s="14" t="n">
        <v>0</v>
      </c>
      <c r="C449" s="14" t="n">
        <v>18.1</v>
      </c>
      <c r="D449" s="15" t="n">
        <v>0</v>
      </c>
      <c r="E449" s="14" t="n">
        <v>0.713</v>
      </c>
      <c r="F449" s="14" t="n">
        <v>6.513</v>
      </c>
      <c r="G449" s="14" t="n">
        <v>89.9</v>
      </c>
      <c r="H449" s="14" t="n">
        <v>2.8016</v>
      </c>
      <c r="I449" s="14" t="n">
        <v>24</v>
      </c>
      <c r="J449" s="14" t="n">
        <v>666</v>
      </c>
      <c r="K449" s="14" t="n">
        <v>20.2</v>
      </c>
      <c r="L449" s="14" t="n">
        <v>393.82</v>
      </c>
      <c r="M449" s="14" t="n">
        <v>10.29</v>
      </c>
      <c r="N449" s="14" t="n">
        <v>20.2</v>
      </c>
    </row>
    <row r="450" customFormat="false" ht="15" hidden="false" customHeight="false" outlineLevel="0" collapsed="false">
      <c r="A450" s="12" t="n">
        <v>7.83932</v>
      </c>
      <c r="B450" s="12" t="n">
        <v>0</v>
      </c>
      <c r="C450" s="12" t="n">
        <v>18.1</v>
      </c>
      <c r="D450" s="13" t="n">
        <v>0</v>
      </c>
      <c r="E450" s="12" t="n">
        <v>0.655</v>
      </c>
      <c r="F450" s="12" t="n">
        <v>6.209</v>
      </c>
      <c r="G450" s="12" t="n">
        <v>65.4</v>
      </c>
      <c r="H450" s="12" t="n">
        <v>2.9634</v>
      </c>
      <c r="I450" s="12" t="n">
        <v>24</v>
      </c>
      <c r="J450" s="12" t="n">
        <v>666</v>
      </c>
      <c r="K450" s="12" t="n">
        <v>20.2</v>
      </c>
      <c r="L450" s="12" t="n">
        <v>396.9</v>
      </c>
      <c r="M450" s="12" t="n">
        <v>13.22</v>
      </c>
      <c r="N450" s="12" t="n">
        <v>21.4</v>
      </c>
    </row>
    <row r="451" customFormat="false" ht="15" hidden="false" customHeight="false" outlineLevel="0" collapsed="false">
      <c r="A451" s="14" t="n">
        <v>3.1636</v>
      </c>
      <c r="B451" s="14" t="n">
        <v>0</v>
      </c>
      <c r="C451" s="14" t="n">
        <v>18.1</v>
      </c>
      <c r="D451" s="15" t="n">
        <v>0</v>
      </c>
      <c r="E451" s="14" t="n">
        <v>0.655</v>
      </c>
      <c r="F451" s="14" t="n">
        <v>5.759</v>
      </c>
      <c r="G451" s="14" t="n">
        <v>48.2</v>
      </c>
      <c r="H451" s="14" t="n">
        <v>3.0665</v>
      </c>
      <c r="I451" s="14" t="n">
        <v>24</v>
      </c>
      <c r="J451" s="14" t="n">
        <v>666</v>
      </c>
      <c r="K451" s="14" t="n">
        <v>20.2</v>
      </c>
      <c r="L451" s="14" t="n">
        <v>334.4</v>
      </c>
      <c r="M451" s="14" t="n">
        <v>14.13</v>
      </c>
      <c r="N451" s="14" t="n">
        <v>19.9</v>
      </c>
    </row>
    <row r="452" customFormat="false" ht="15" hidden="false" customHeight="false" outlineLevel="0" collapsed="false">
      <c r="A452" s="12" t="n">
        <v>3.77498</v>
      </c>
      <c r="B452" s="12" t="n">
        <v>0</v>
      </c>
      <c r="C452" s="12" t="n">
        <v>18.1</v>
      </c>
      <c r="D452" s="13" t="n">
        <v>0</v>
      </c>
      <c r="E452" s="12" t="n">
        <v>0.655</v>
      </c>
      <c r="F452" s="12" t="n">
        <v>5.952</v>
      </c>
      <c r="G452" s="12" t="n">
        <v>84.7</v>
      </c>
      <c r="H452" s="12" t="n">
        <v>2.8715</v>
      </c>
      <c r="I452" s="12" t="n">
        <v>24</v>
      </c>
      <c r="J452" s="12" t="n">
        <v>666</v>
      </c>
      <c r="K452" s="12" t="n">
        <v>20.2</v>
      </c>
      <c r="L452" s="12" t="n">
        <v>22.01</v>
      </c>
      <c r="M452" s="12" t="n">
        <v>17.15</v>
      </c>
      <c r="N452" s="12" t="n">
        <v>19</v>
      </c>
    </row>
    <row r="453" customFormat="false" ht="15" hidden="false" customHeight="false" outlineLevel="0" collapsed="false">
      <c r="A453" s="14" t="n">
        <v>4.42228</v>
      </c>
      <c r="B453" s="14" t="n">
        <v>0</v>
      </c>
      <c r="C453" s="14" t="n">
        <v>18.1</v>
      </c>
      <c r="D453" s="15" t="n">
        <v>0</v>
      </c>
      <c r="E453" s="14" t="n">
        <v>0.584</v>
      </c>
      <c r="F453" s="14" t="n">
        <v>6.003</v>
      </c>
      <c r="G453" s="14" t="n">
        <v>94.5</v>
      </c>
      <c r="H453" s="14" t="n">
        <v>2.5403</v>
      </c>
      <c r="I453" s="14" t="n">
        <v>24</v>
      </c>
      <c r="J453" s="14" t="n">
        <v>666</v>
      </c>
      <c r="K453" s="14" t="n">
        <v>20.2</v>
      </c>
      <c r="L453" s="14" t="n">
        <v>331.29</v>
      </c>
      <c r="M453" s="14" t="n">
        <v>21.32</v>
      </c>
      <c r="N453" s="14" t="n">
        <v>19.1</v>
      </c>
    </row>
    <row r="454" customFormat="false" ht="15" hidden="false" customHeight="false" outlineLevel="0" collapsed="false">
      <c r="A454" s="12" t="n">
        <v>15.5757</v>
      </c>
      <c r="B454" s="12" t="n">
        <v>0</v>
      </c>
      <c r="C454" s="12" t="n">
        <v>18.1</v>
      </c>
      <c r="D454" s="13" t="n">
        <v>0</v>
      </c>
      <c r="E454" s="12" t="n">
        <v>0.58</v>
      </c>
      <c r="F454" s="12" t="n">
        <v>5.926</v>
      </c>
      <c r="G454" s="12" t="n">
        <v>71</v>
      </c>
      <c r="H454" s="12" t="n">
        <v>2.9084</v>
      </c>
      <c r="I454" s="12" t="n">
        <v>24</v>
      </c>
      <c r="J454" s="12" t="n">
        <v>666</v>
      </c>
      <c r="K454" s="12" t="n">
        <v>20.2</v>
      </c>
      <c r="L454" s="12" t="n">
        <v>368.74</v>
      </c>
      <c r="M454" s="12" t="n">
        <v>18.13</v>
      </c>
      <c r="N454" s="12" t="n">
        <v>19.1</v>
      </c>
    </row>
    <row r="455" customFormat="false" ht="15" hidden="false" customHeight="false" outlineLevel="0" collapsed="false">
      <c r="A455" s="14" t="n">
        <v>13.0751</v>
      </c>
      <c r="B455" s="14" t="n">
        <v>0</v>
      </c>
      <c r="C455" s="14" t="n">
        <v>18.1</v>
      </c>
      <c r="D455" s="15" t="n">
        <v>0</v>
      </c>
      <c r="E455" s="14" t="n">
        <v>0.58</v>
      </c>
      <c r="F455" s="14" t="n">
        <v>5.713</v>
      </c>
      <c r="G455" s="14" t="n">
        <v>56.7</v>
      </c>
      <c r="H455" s="14" t="n">
        <v>2.8237</v>
      </c>
      <c r="I455" s="14" t="n">
        <v>24</v>
      </c>
      <c r="J455" s="14" t="n">
        <v>666</v>
      </c>
      <c r="K455" s="14" t="n">
        <v>20.2</v>
      </c>
      <c r="L455" s="14" t="n">
        <v>396.9</v>
      </c>
      <c r="M455" s="14" t="n">
        <v>14.76</v>
      </c>
      <c r="N455" s="14" t="n">
        <v>20.1</v>
      </c>
    </row>
    <row r="456" customFormat="false" ht="15" hidden="false" customHeight="false" outlineLevel="0" collapsed="false">
      <c r="A456" s="12" t="n">
        <v>4.34879</v>
      </c>
      <c r="B456" s="12" t="n">
        <v>0</v>
      </c>
      <c r="C456" s="12" t="n">
        <v>18.1</v>
      </c>
      <c r="D456" s="13" t="n">
        <v>0</v>
      </c>
      <c r="E456" s="12" t="n">
        <v>0.58</v>
      </c>
      <c r="F456" s="12" t="n">
        <v>6.167</v>
      </c>
      <c r="G456" s="12" t="n">
        <v>84</v>
      </c>
      <c r="H456" s="12" t="n">
        <v>3.0334</v>
      </c>
      <c r="I456" s="12" t="n">
        <v>24</v>
      </c>
      <c r="J456" s="12" t="n">
        <v>666</v>
      </c>
      <c r="K456" s="12" t="n">
        <v>20.2</v>
      </c>
      <c r="L456" s="12" t="n">
        <v>396.9</v>
      </c>
      <c r="M456" s="12" t="n">
        <v>16.29</v>
      </c>
      <c r="N456" s="12" t="n">
        <v>19.9</v>
      </c>
    </row>
    <row r="457" customFormat="false" ht="15" hidden="false" customHeight="false" outlineLevel="0" collapsed="false">
      <c r="A457" s="14" t="n">
        <v>4.03841</v>
      </c>
      <c r="B457" s="14" t="n">
        <v>0</v>
      </c>
      <c r="C457" s="14" t="n">
        <v>18.1</v>
      </c>
      <c r="D457" s="15" t="n">
        <v>0</v>
      </c>
      <c r="E457" s="14" t="n">
        <v>0.532</v>
      </c>
      <c r="F457" s="14" t="n">
        <v>6.229</v>
      </c>
      <c r="G457" s="14" t="n">
        <v>90.7</v>
      </c>
      <c r="H457" s="14" t="n">
        <v>3.0993</v>
      </c>
      <c r="I457" s="14" t="n">
        <v>24</v>
      </c>
      <c r="J457" s="14" t="n">
        <v>666</v>
      </c>
      <c r="K457" s="14" t="n">
        <v>20.2</v>
      </c>
      <c r="L457" s="14" t="n">
        <v>395.33</v>
      </c>
      <c r="M457" s="14" t="n">
        <v>12.87</v>
      </c>
      <c r="N457" s="14" t="n">
        <v>19.6</v>
      </c>
    </row>
    <row r="458" customFormat="false" ht="15" hidden="false" customHeight="false" outlineLevel="0" collapsed="false">
      <c r="A458" s="12" t="n">
        <v>3.56868</v>
      </c>
      <c r="B458" s="12" t="n">
        <v>0</v>
      </c>
      <c r="C458" s="12" t="n">
        <v>18.1</v>
      </c>
      <c r="D458" s="13" t="n">
        <v>0</v>
      </c>
      <c r="E458" s="12" t="n">
        <v>0.58</v>
      </c>
      <c r="F458" s="12" t="n">
        <v>6.437</v>
      </c>
      <c r="G458" s="12" t="n">
        <v>75</v>
      </c>
      <c r="H458" s="12" t="n">
        <v>2.8965</v>
      </c>
      <c r="I458" s="12" t="n">
        <v>24</v>
      </c>
      <c r="J458" s="12" t="n">
        <v>666</v>
      </c>
      <c r="K458" s="12" t="n">
        <v>20.2</v>
      </c>
      <c r="L458" s="12" t="n">
        <v>393.37</v>
      </c>
      <c r="M458" s="12" t="n">
        <v>14.36</v>
      </c>
      <c r="N458" s="12" t="n">
        <v>23.2</v>
      </c>
    </row>
    <row r="459" customFormat="false" ht="15" hidden="false" customHeight="false" outlineLevel="0" collapsed="false">
      <c r="A459" s="14" t="n">
        <v>4.64689</v>
      </c>
      <c r="B459" s="14" t="n">
        <v>0</v>
      </c>
      <c r="C459" s="14" t="n">
        <v>18.1</v>
      </c>
      <c r="D459" s="15" t="n">
        <v>0</v>
      </c>
      <c r="E459" s="14" t="n">
        <v>0.614</v>
      </c>
      <c r="F459" s="14" t="n">
        <v>6.98</v>
      </c>
      <c r="G459" s="14" t="n">
        <v>67.6</v>
      </c>
      <c r="H459" s="14" t="n">
        <v>2.5329</v>
      </c>
      <c r="I459" s="14" t="n">
        <v>24</v>
      </c>
      <c r="J459" s="14" t="n">
        <v>666</v>
      </c>
      <c r="K459" s="14" t="n">
        <v>20.2</v>
      </c>
      <c r="L459" s="14" t="n">
        <v>374.68</v>
      </c>
      <c r="M459" s="14" t="n">
        <v>11.66</v>
      </c>
      <c r="N459" s="14" t="n">
        <v>29.8</v>
      </c>
    </row>
    <row r="460" customFormat="false" ht="15" hidden="false" customHeight="false" outlineLevel="0" collapsed="false">
      <c r="A460" s="12" t="n">
        <v>8.05579</v>
      </c>
      <c r="B460" s="12" t="n">
        <v>0</v>
      </c>
      <c r="C460" s="12" t="n">
        <v>18.1</v>
      </c>
      <c r="D460" s="13" t="n">
        <v>0</v>
      </c>
      <c r="E460" s="12" t="n">
        <v>0.584</v>
      </c>
      <c r="F460" s="12" t="n">
        <v>5.427</v>
      </c>
      <c r="G460" s="12" t="n">
        <v>95.4</v>
      </c>
      <c r="H460" s="12" t="n">
        <v>2.4298</v>
      </c>
      <c r="I460" s="12" t="n">
        <v>24</v>
      </c>
      <c r="J460" s="12" t="n">
        <v>666</v>
      </c>
      <c r="K460" s="12" t="n">
        <v>20.2</v>
      </c>
      <c r="L460" s="12" t="n">
        <v>352.58</v>
      </c>
      <c r="M460" s="12" t="n">
        <v>18.14</v>
      </c>
      <c r="N460" s="12" t="n">
        <v>13.8</v>
      </c>
    </row>
    <row r="461" customFormat="false" ht="15" hidden="false" customHeight="false" outlineLevel="0" collapsed="false">
      <c r="A461" s="14" t="n">
        <v>6.39312</v>
      </c>
      <c r="B461" s="14" t="n">
        <v>0</v>
      </c>
      <c r="C461" s="14" t="n">
        <v>18.1</v>
      </c>
      <c r="D461" s="15" t="n">
        <v>0</v>
      </c>
      <c r="E461" s="14" t="n">
        <v>0.584</v>
      </c>
      <c r="F461" s="14" t="n">
        <v>6.162</v>
      </c>
      <c r="G461" s="14" t="n">
        <v>97.4</v>
      </c>
      <c r="H461" s="14" t="n">
        <v>2.206</v>
      </c>
      <c r="I461" s="14" t="n">
        <v>24</v>
      </c>
      <c r="J461" s="14" t="n">
        <v>666</v>
      </c>
      <c r="K461" s="14" t="n">
        <v>20.2</v>
      </c>
      <c r="L461" s="14" t="n">
        <v>302.76</v>
      </c>
      <c r="M461" s="14" t="n">
        <v>24.1</v>
      </c>
      <c r="N461" s="14" t="n">
        <v>13.3</v>
      </c>
    </row>
    <row r="462" customFormat="false" ht="15" hidden="false" customHeight="false" outlineLevel="0" collapsed="false">
      <c r="A462" s="12" t="n">
        <v>4.87141</v>
      </c>
      <c r="B462" s="12" t="n">
        <v>0</v>
      </c>
      <c r="C462" s="12" t="n">
        <v>18.1</v>
      </c>
      <c r="D462" s="13" t="n">
        <v>0</v>
      </c>
      <c r="E462" s="12" t="n">
        <v>0.614</v>
      </c>
      <c r="F462" s="12" t="n">
        <v>6.484</v>
      </c>
      <c r="G462" s="12" t="n">
        <v>93.6</v>
      </c>
      <c r="H462" s="12" t="n">
        <v>2.3053</v>
      </c>
      <c r="I462" s="12" t="n">
        <v>24</v>
      </c>
      <c r="J462" s="12" t="n">
        <v>666</v>
      </c>
      <c r="K462" s="12" t="n">
        <v>20.2</v>
      </c>
      <c r="L462" s="12" t="n">
        <v>396.21</v>
      </c>
      <c r="M462" s="12" t="n">
        <v>18.68</v>
      </c>
      <c r="N462" s="12" t="n">
        <v>16.7</v>
      </c>
    </row>
    <row r="463" customFormat="false" ht="15" hidden="false" customHeight="false" outlineLevel="0" collapsed="false">
      <c r="A463" s="14" t="n">
        <v>15.0234</v>
      </c>
      <c r="B463" s="14" t="n">
        <v>0</v>
      </c>
      <c r="C463" s="14" t="n">
        <v>18.1</v>
      </c>
      <c r="D463" s="15" t="n">
        <v>0</v>
      </c>
      <c r="E463" s="14" t="n">
        <v>0.614</v>
      </c>
      <c r="F463" s="14" t="n">
        <v>5.304</v>
      </c>
      <c r="G463" s="14" t="n">
        <v>97.3</v>
      </c>
      <c r="H463" s="14" t="n">
        <v>2.1007</v>
      </c>
      <c r="I463" s="14" t="n">
        <v>24</v>
      </c>
      <c r="J463" s="14" t="n">
        <v>666</v>
      </c>
      <c r="K463" s="14" t="n">
        <v>20.2</v>
      </c>
      <c r="L463" s="14" t="n">
        <v>349.48</v>
      </c>
      <c r="M463" s="14" t="n">
        <v>24.91</v>
      </c>
      <c r="N463" s="14" t="n">
        <v>12</v>
      </c>
    </row>
    <row r="464" customFormat="false" ht="15" hidden="false" customHeight="false" outlineLevel="0" collapsed="false">
      <c r="A464" s="12" t="n">
        <v>10.233</v>
      </c>
      <c r="B464" s="12" t="n">
        <v>0</v>
      </c>
      <c r="C464" s="12" t="n">
        <v>18.1</v>
      </c>
      <c r="D464" s="13" t="n">
        <v>0</v>
      </c>
      <c r="E464" s="12" t="n">
        <v>0.614</v>
      </c>
      <c r="F464" s="12" t="n">
        <v>6.185</v>
      </c>
      <c r="G464" s="12" t="n">
        <v>96.7</v>
      </c>
      <c r="H464" s="12" t="n">
        <v>2.1705</v>
      </c>
      <c r="I464" s="12" t="n">
        <v>24</v>
      </c>
      <c r="J464" s="12" t="n">
        <v>666</v>
      </c>
      <c r="K464" s="12" t="n">
        <v>20.2</v>
      </c>
      <c r="L464" s="12" t="n">
        <v>379.7</v>
      </c>
      <c r="M464" s="12" t="n">
        <v>18.03</v>
      </c>
      <c r="N464" s="12" t="n">
        <v>14.6</v>
      </c>
    </row>
    <row r="465" customFormat="false" ht="15" hidden="false" customHeight="false" outlineLevel="0" collapsed="false">
      <c r="A465" s="14" t="n">
        <v>14.3337</v>
      </c>
      <c r="B465" s="14" t="n">
        <v>0</v>
      </c>
      <c r="C465" s="14" t="n">
        <v>18.1</v>
      </c>
      <c r="D465" s="15" t="n">
        <v>0</v>
      </c>
      <c r="E465" s="14" t="n">
        <v>0.614</v>
      </c>
      <c r="F465" s="14" t="n">
        <v>6.229</v>
      </c>
      <c r="G465" s="14" t="n">
        <v>88</v>
      </c>
      <c r="H465" s="14" t="n">
        <v>1.9512</v>
      </c>
      <c r="I465" s="14" t="n">
        <v>24</v>
      </c>
      <c r="J465" s="14" t="n">
        <v>666</v>
      </c>
      <c r="K465" s="14" t="n">
        <v>20.2</v>
      </c>
      <c r="L465" s="14" t="n">
        <v>383.32</v>
      </c>
      <c r="M465" s="14" t="n">
        <v>13.11</v>
      </c>
      <c r="N465" s="14" t="n">
        <v>21.4</v>
      </c>
    </row>
    <row r="466" customFormat="false" ht="15" hidden="false" customHeight="false" outlineLevel="0" collapsed="false">
      <c r="A466" s="12" t="n">
        <v>5.82401</v>
      </c>
      <c r="B466" s="12" t="n">
        <v>0</v>
      </c>
      <c r="C466" s="12" t="n">
        <v>18.1</v>
      </c>
      <c r="D466" s="13" t="n">
        <v>0</v>
      </c>
      <c r="E466" s="12" t="n">
        <v>0.532</v>
      </c>
      <c r="F466" s="12" t="n">
        <v>6.242</v>
      </c>
      <c r="G466" s="12" t="n">
        <v>64.7</v>
      </c>
      <c r="H466" s="12" t="n">
        <v>3.4242</v>
      </c>
      <c r="I466" s="12" t="n">
        <v>24</v>
      </c>
      <c r="J466" s="12" t="n">
        <v>666</v>
      </c>
      <c r="K466" s="12" t="n">
        <v>20.2</v>
      </c>
      <c r="L466" s="12" t="n">
        <v>396.9</v>
      </c>
      <c r="M466" s="12" t="n">
        <v>10.74</v>
      </c>
      <c r="N466" s="12" t="n">
        <v>23</v>
      </c>
    </row>
    <row r="467" customFormat="false" ht="15" hidden="false" customHeight="false" outlineLevel="0" collapsed="false">
      <c r="A467" s="14" t="n">
        <v>5.70818</v>
      </c>
      <c r="B467" s="14" t="n">
        <v>0</v>
      </c>
      <c r="C467" s="14" t="n">
        <v>18.1</v>
      </c>
      <c r="D467" s="15" t="n">
        <v>0</v>
      </c>
      <c r="E467" s="14" t="n">
        <v>0.532</v>
      </c>
      <c r="F467" s="14" t="n">
        <v>6.75</v>
      </c>
      <c r="G467" s="14" t="n">
        <v>74.9</v>
      </c>
      <c r="H467" s="14" t="n">
        <v>3.3317</v>
      </c>
      <c r="I467" s="14" t="n">
        <v>24</v>
      </c>
      <c r="J467" s="14" t="n">
        <v>666</v>
      </c>
      <c r="K467" s="14" t="n">
        <v>20.2</v>
      </c>
      <c r="L467" s="14" t="n">
        <v>393.07</v>
      </c>
      <c r="M467" s="14" t="n">
        <v>7.74</v>
      </c>
      <c r="N467" s="14" t="n">
        <v>23.7</v>
      </c>
    </row>
    <row r="468" customFormat="false" ht="15" hidden="false" customHeight="false" outlineLevel="0" collapsed="false">
      <c r="A468" s="12" t="n">
        <v>5.73116</v>
      </c>
      <c r="B468" s="12" t="n">
        <v>0</v>
      </c>
      <c r="C468" s="12" t="n">
        <v>18.1</v>
      </c>
      <c r="D468" s="13" t="n">
        <v>0</v>
      </c>
      <c r="E468" s="12" t="n">
        <v>0.532</v>
      </c>
      <c r="F468" s="12" t="n">
        <v>7.061</v>
      </c>
      <c r="G468" s="12" t="n">
        <v>77</v>
      </c>
      <c r="H468" s="12" t="n">
        <v>3.4106</v>
      </c>
      <c r="I468" s="12" t="n">
        <v>24</v>
      </c>
      <c r="J468" s="12" t="n">
        <v>666</v>
      </c>
      <c r="K468" s="12" t="n">
        <v>20.2</v>
      </c>
      <c r="L468" s="12" t="n">
        <v>395.28</v>
      </c>
      <c r="M468" s="12" t="n">
        <v>7.01</v>
      </c>
      <c r="N468" s="12" t="n">
        <v>25</v>
      </c>
    </row>
    <row r="469" customFormat="false" ht="15" hidden="false" customHeight="false" outlineLevel="0" collapsed="false">
      <c r="A469" s="14" t="n">
        <v>2.81838</v>
      </c>
      <c r="B469" s="14" t="n">
        <v>0</v>
      </c>
      <c r="C469" s="14" t="n">
        <v>18.1</v>
      </c>
      <c r="D469" s="15" t="n">
        <v>0</v>
      </c>
      <c r="E469" s="14" t="n">
        <v>0.532</v>
      </c>
      <c r="F469" s="14" t="n">
        <v>5.762</v>
      </c>
      <c r="G469" s="14" t="n">
        <v>40.3</v>
      </c>
      <c r="H469" s="14" t="n">
        <v>4.0983</v>
      </c>
      <c r="I469" s="14" t="n">
        <v>24</v>
      </c>
      <c r="J469" s="14" t="n">
        <v>666</v>
      </c>
      <c r="K469" s="14" t="n">
        <v>20.2</v>
      </c>
      <c r="L469" s="14" t="n">
        <v>392.92</v>
      </c>
      <c r="M469" s="14" t="n">
        <v>10.42</v>
      </c>
      <c r="N469" s="14" t="n">
        <v>21.8</v>
      </c>
    </row>
    <row r="470" customFormat="false" ht="15" hidden="false" customHeight="false" outlineLevel="0" collapsed="false">
      <c r="A470" s="12" t="n">
        <v>2.37857</v>
      </c>
      <c r="B470" s="12" t="n">
        <v>0</v>
      </c>
      <c r="C470" s="12" t="n">
        <v>18.1</v>
      </c>
      <c r="D470" s="13" t="n">
        <v>0</v>
      </c>
      <c r="E470" s="12" t="n">
        <v>0.583</v>
      </c>
      <c r="F470" s="12" t="n">
        <v>5.871</v>
      </c>
      <c r="G470" s="12" t="n">
        <v>41.9</v>
      </c>
      <c r="H470" s="12" t="n">
        <v>3.724</v>
      </c>
      <c r="I470" s="12" t="n">
        <v>24</v>
      </c>
      <c r="J470" s="12" t="n">
        <v>666</v>
      </c>
      <c r="K470" s="12" t="n">
        <v>20.2</v>
      </c>
      <c r="L470" s="12" t="n">
        <v>370.73</v>
      </c>
      <c r="M470" s="12" t="n">
        <v>13.34</v>
      </c>
      <c r="N470" s="12" t="n">
        <v>20.6</v>
      </c>
    </row>
    <row r="471" customFormat="false" ht="15" hidden="false" customHeight="false" outlineLevel="0" collapsed="false">
      <c r="A471" s="14" t="n">
        <v>3.67367</v>
      </c>
      <c r="B471" s="14" t="n">
        <v>0</v>
      </c>
      <c r="C471" s="14" t="n">
        <v>18.1</v>
      </c>
      <c r="D471" s="15" t="n">
        <v>0</v>
      </c>
      <c r="E471" s="14" t="n">
        <v>0.583</v>
      </c>
      <c r="F471" s="14" t="n">
        <v>6.312</v>
      </c>
      <c r="G471" s="14" t="n">
        <v>51.9</v>
      </c>
      <c r="H471" s="14" t="n">
        <v>3.9917</v>
      </c>
      <c r="I471" s="14" t="n">
        <v>24</v>
      </c>
      <c r="J471" s="14" t="n">
        <v>666</v>
      </c>
      <c r="K471" s="14" t="n">
        <v>20.2</v>
      </c>
      <c r="L471" s="14" t="n">
        <v>388.62</v>
      </c>
      <c r="M471" s="14" t="n">
        <v>10.58</v>
      </c>
      <c r="N471" s="14" t="n">
        <v>21.2</v>
      </c>
    </row>
    <row r="472" customFormat="false" ht="15" hidden="false" customHeight="false" outlineLevel="0" collapsed="false">
      <c r="A472" s="12" t="n">
        <v>5.69175</v>
      </c>
      <c r="B472" s="12" t="n">
        <v>0</v>
      </c>
      <c r="C472" s="12" t="n">
        <v>18.1</v>
      </c>
      <c r="D472" s="13" t="n">
        <v>0</v>
      </c>
      <c r="E472" s="12" t="n">
        <v>0.583</v>
      </c>
      <c r="F472" s="12" t="n">
        <v>6.114</v>
      </c>
      <c r="G472" s="12" t="n">
        <v>79.8</v>
      </c>
      <c r="H472" s="12" t="n">
        <v>3.5459</v>
      </c>
      <c r="I472" s="12" t="n">
        <v>24</v>
      </c>
      <c r="J472" s="12" t="n">
        <v>666</v>
      </c>
      <c r="K472" s="12" t="n">
        <v>20.2</v>
      </c>
      <c r="L472" s="12" t="n">
        <v>392.68</v>
      </c>
      <c r="M472" s="12" t="n">
        <v>14.98</v>
      </c>
      <c r="N472" s="12" t="n">
        <v>19.1</v>
      </c>
    </row>
    <row r="473" customFormat="false" ht="15" hidden="false" customHeight="false" outlineLevel="0" collapsed="false">
      <c r="A473" s="14" t="n">
        <v>4.83567</v>
      </c>
      <c r="B473" s="14" t="n">
        <v>0</v>
      </c>
      <c r="C473" s="14" t="n">
        <v>18.1</v>
      </c>
      <c r="D473" s="15" t="n">
        <v>0</v>
      </c>
      <c r="E473" s="14" t="n">
        <v>0.583</v>
      </c>
      <c r="F473" s="14" t="n">
        <v>5.905</v>
      </c>
      <c r="G473" s="14" t="n">
        <v>53.2</v>
      </c>
      <c r="H473" s="14" t="n">
        <v>3.1523</v>
      </c>
      <c r="I473" s="14" t="n">
        <v>24</v>
      </c>
      <c r="J473" s="14" t="n">
        <v>666</v>
      </c>
      <c r="K473" s="14" t="n">
        <v>20.2</v>
      </c>
      <c r="L473" s="14" t="n">
        <v>388.22</v>
      </c>
      <c r="M473" s="14" t="n">
        <v>11.45</v>
      </c>
      <c r="N473" s="14" t="n">
        <v>20.6</v>
      </c>
    </row>
    <row r="474" customFormat="false" ht="15" hidden="false" customHeight="false" outlineLevel="0" collapsed="false">
      <c r="A474" s="12" t="n">
        <v>0.15086</v>
      </c>
      <c r="B474" s="12" t="n">
        <v>0</v>
      </c>
      <c r="C474" s="12" t="n">
        <v>27.74</v>
      </c>
      <c r="D474" s="13" t="n">
        <v>0</v>
      </c>
      <c r="E474" s="12" t="n">
        <v>0.609</v>
      </c>
      <c r="F474" s="12" t="n">
        <v>5.454</v>
      </c>
      <c r="G474" s="12" t="n">
        <v>92.7</v>
      </c>
      <c r="H474" s="12" t="n">
        <v>1.8209</v>
      </c>
      <c r="I474" s="12" t="n">
        <v>4</v>
      </c>
      <c r="J474" s="12" t="n">
        <v>711</v>
      </c>
      <c r="K474" s="12" t="n">
        <v>20.1</v>
      </c>
      <c r="L474" s="12" t="n">
        <v>395.09</v>
      </c>
      <c r="M474" s="12" t="n">
        <v>18.06</v>
      </c>
      <c r="N474" s="12" t="n">
        <v>15.2</v>
      </c>
    </row>
    <row r="475" customFormat="false" ht="15" hidden="false" customHeight="false" outlineLevel="0" collapsed="false">
      <c r="A475" s="14" t="n">
        <v>0.18337</v>
      </c>
      <c r="B475" s="14" t="n">
        <v>0</v>
      </c>
      <c r="C475" s="14" t="n">
        <v>27.74</v>
      </c>
      <c r="D475" s="15" t="n">
        <v>0</v>
      </c>
      <c r="E475" s="14" t="n">
        <v>0.609</v>
      </c>
      <c r="F475" s="14" t="n">
        <v>5.414</v>
      </c>
      <c r="G475" s="14" t="n">
        <v>98.3</v>
      </c>
      <c r="H475" s="14" t="n">
        <v>1.7554</v>
      </c>
      <c r="I475" s="14" t="n">
        <v>4</v>
      </c>
      <c r="J475" s="14" t="n">
        <v>711</v>
      </c>
      <c r="K475" s="14" t="n">
        <v>20.1</v>
      </c>
      <c r="L475" s="14" t="n">
        <v>344.05</v>
      </c>
      <c r="M475" s="14" t="n">
        <v>23.97</v>
      </c>
      <c r="N475" s="14" t="n">
        <v>7</v>
      </c>
    </row>
    <row r="476" customFormat="false" ht="15" hidden="false" customHeight="false" outlineLevel="0" collapsed="false">
      <c r="A476" s="12" t="n">
        <v>0.20746</v>
      </c>
      <c r="B476" s="12" t="n">
        <v>0</v>
      </c>
      <c r="C476" s="12" t="n">
        <v>27.74</v>
      </c>
      <c r="D476" s="13" t="n">
        <v>0</v>
      </c>
      <c r="E476" s="12" t="n">
        <v>0.609</v>
      </c>
      <c r="F476" s="12" t="n">
        <v>5.093</v>
      </c>
      <c r="G476" s="12" t="n">
        <v>98</v>
      </c>
      <c r="H476" s="12" t="n">
        <v>1.8226</v>
      </c>
      <c r="I476" s="12" t="n">
        <v>4</v>
      </c>
      <c r="J476" s="12" t="n">
        <v>711</v>
      </c>
      <c r="K476" s="12" t="n">
        <v>20.1</v>
      </c>
      <c r="L476" s="12" t="n">
        <v>318.43</v>
      </c>
      <c r="M476" s="12" t="n">
        <v>29.68</v>
      </c>
      <c r="N476" s="12" t="n">
        <v>8.1</v>
      </c>
    </row>
    <row r="477" customFormat="false" ht="15" hidden="false" customHeight="false" outlineLevel="0" collapsed="false">
      <c r="A477" s="14" t="n">
        <v>0.10574</v>
      </c>
      <c r="B477" s="14" t="n">
        <v>0</v>
      </c>
      <c r="C477" s="14" t="n">
        <v>27.74</v>
      </c>
      <c r="D477" s="15" t="n">
        <v>0</v>
      </c>
      <c r="E477" s="14" t="n">
        <v>0.609</v>
      </c>
      <c r="F477" s="14" t="n">
        <v>5.983</v>
      </c>
      <c r="G477" s="14" t="n">
        <v>98.8</v>
      </c>
      <c r="H477" s="14" t="n">
        <v>1.8681</v>
      </c>
      <c r="I477" s="14" t="n">
        <v>4</v>
      </c>
      <c r="J477" s="14" t="n">
        <v>711</v>
      </c>
      <c r="K477" s="14" t="n">
        <v>20.1</v>
      </c>
      <c r="L477" s="14" t="n">
        <v>390.11</v>
      </c>
      <c r="M477" s="14" t="n">
        <v>18.07</v>
      </c>
      <c r="N477" s="14" t="n">
        <v>13.6</v>
      </c>
    </row>
    <row r="478" customFormat="false" ht="15" hidden="false" customHeight="false" outlineLevel="0" collapsed="false">
      <c r="A478" s="12" t="n">
        <v>0.11132</v>
      </c>
      <c r="B478" s="12" t="n">
        <v>0</v>
      </c>
      <c r="C478" s="12" t="n">
        <v>27.74</v>
      </c>
      <c r="D478" s="13" t="n">
        <v>0</v>
      </c>
      <c r="E478" s="12" t="n">
        <v>0.609</v>
      </c>
      <c r="F478" s="12" t="n">
        <v>5.983</v>
      </c>
      <c r="G478" s="12" t="n">
        <v>83.5</v>
      </c>
      <c r="H478" s="12" t="n">
        <v>2.1099</v>
      </c>
      <c r="I478" s="12" t="n">
        <v>4</v>
      </c>
      <c r="J478" s="12" t="n">
        <v>711</v>
      </c>
      <c r="K478" s="12" t="n">
        <v>20.1</v>
      </c>
      <c r="L478" s="12" t="n">
        <v>396.9</v>
      </c>
      <c r="M478" s="12" t="n">
        <v>13.35</v>
      </c>
      <c r="N478" s="12" t="n">
        <v>20.1</v>
      </c>
    </row>
    <row r="479" customFormat="false" ht="15" hidden="false" customHeight="false" outlineLevel="0" collapsed="false">
      <c r="A479" s="14" t="n">
        <v>0.17331</v>
      </c>
      <c r="B479" s="14" t="n">
        <v>0</v>
      </c>
      <c r="C479" s="14" t="n">
        <v>9.69</v>
      </c>
      <c r="D479" s="15" t="n">
        <v>0</v>
      </c>
      <c r="E479" s="14" t="n">
        <v>0.585</v>
      </c>
      <c r="F479" s="14" t="n">
        <v>5.707</v>
      </c>
      <c r="G479" s="14" t="n">
        <v>54</v>
      </c>
      <c r="H479" s="14" t="n">
        <v>2.3817</v>
      </c>
      <c r="I479" s="14" t="n">
        <v>6</v>
      </c>
      <c r="J479" s="14" t="n">
        <v>391</v>
      </c>
      <c r="K479" s="14" t="n">
        <v>19.2</v>
      </c>
      <c r="L479" s="14" t="n">
        <v>396.9</v>
      </c>
      <c r="M479" s="14" t="n">
        <v>12.01</v>
      </c>
      <c r="N479" s="14" t="n">
        <v>21.8</v>
      </c>
    </row>
    <row r="480" customFormat="false" ht="15" hidden="false" customHeight="false" outlineLevel="0" collapsed="false">
      <c r="A480" s="12" t="n">
        <v>0.27957</v>
      </c>
      <c r="B480" s="12" t="n">
        <v>0</v>
      </c>
      <c r="C480" s="12" t="n">
        <v>9.69</v>
      </c>
      <c r="D480" s="13" t="n">
        <v>0</v>
      </c>
      <c r="E480" s="12" t="n">
        <v>0.585</v>
      </c>
      <c r="F480" s="12" t="n">
        <v>5.926</v>
      </c>
      <c r="G480" s="12" t="n">
        <v>42.6</v>
      </c>
      <c r="H480" s="12" t="n">
        <v>2.3817</v>
      </c>
      <c r="I480" s="12" t="n">
        <v>6</v>
      </c>
      <c r="J480" s="12" t="n">
        <v>391</v>
      </c>
      <c r="K480" s="12" t="n">
        <v>19.2</v>
      </c>
      <c r="L480" s="12" t="n">
        <v>396.9</v>
      </c>
      <c r="M480" s="12" t="n">
        <v>13.59</v>
      </c>
      <c r="N480" s="12" t="n">
        <v>24.5</v>
      </c>
    </row>
    <row r="481" customFormat="false" ht="15" hidden="false" customHeight="false" outlineLevel="0" collapsed="false">
      <c r="A481" s="14" t="n">
        <v>0.17899</v>
      </c>
      <c r="B481" s="14" t="n">
        <v>0</v>
      </c>
      <c r="C481" s="14" t="n">
        <v>9.69</v>
      </c>
      <c r="D481" s="15" t="n">
        <v>0</v>
      </c>
      <c r="E481" s="14" t="n">
        <v>0.585</v>
      </c>
      <c r="F481" s="14" t="n">
        <v>5.67</v>
      </c>
      <c r="G481" s="14" t="n">
        <v>28.8</v>
      </c>
      <c r="H481" s="14" t="n">
        <v>2.7986</v>
      </c>
      <c r="I481" s="14" t="n">
        <v>6</v>
      </c>
      <c r="J481" s="14" t="n">
        <v>391</v>
      </c>
      <c r="K481" s="14" t="n">
        <v>19.2</v>
      </c>
      <c r="L481" s="14" t="n">
        <v>393.29</v>
      </c>
      <c r="M481" s="14" t="n">
        <v>17.6</v>
      </c>
      <c r="N481" s="14" t="n">
        <v>23.1</v>
      </c>
    </row>
    <row r="482" customFormat="false" ht="15" hidden="false" customHeight="false" outlineLevel="0" collapsed="false">
      <c r="A482" s="12" t="n">
        <v>0.2896</v>
      </c>
      <c r="B482" s="12" t="n">
        <v>0</v>
      </c>
      <c r="C482" s="12" t="n">
        <v>9.69</v>
      </c>
      <c r="D482" s="13" t="n">
        <v>0</v>
      </c>
      <c r="E482" s="12" t="n">
        <v>0.585</v>
      </c>
      <c r="F482" s="12" t="n">
        <v>5.39</v>
      </c>
      <c r="G482" s="12" t="n">
        <v>72.9</v>
      </c>
      <c r="H482" s="12" t="n">
        <v>2.7986</v>
      </c>
      <c r="I482" s="12" t="n">
        <v>6</v>
      </c>
      <c r="J482" s="12" t="n">
        <v>391</v>
      </c>
      <c r="K482" s="12" t="n">
        <v>19.2</v>
      </c>
      <c r="L482" s="12" t="n">
        <v>396.9</v>
      </c>
      <c r="M482" s="12" t="n">
        <v>21.14</v>
      </c>
      <c r="N482" s="12" t="n">
        <v>19.7</v>
      </c>
    </row>
    <row r="483" customFormat="false" ht="15" hidden="false" customHeight="false" outlineLevel="0" collapsed="false">
      <c r="A483" s="14" t="n">
        <v>0.26838</v>
      </c>
      <c r="B483" s="14" t="n">
        <v>0</v>
      </c>
      <c r="C483" s="14" t="n">
        <v>9.69</v>
      </c>
      <c r="D483" s="15" t="n">
        <v>0</v>
      </c>
      <c r="E483" s="14" t="n">
        <v>0.585</v>
      </c>
      <c r="F483" s="14" t="n">
        <v>5.794</v>
      </c>
      <c r="G483" s="14" t="n">
        <v>70.6</v>
      </c>
      <c r="H483" s="14" t="n">
        <v>2.8927</v>
      </c>
      <c r="I483" s="14" t="n">
        <v>6</v>
      </c>
      <c r="J483" s="14" t="n">
        <v>391</v>
      </c>
      <c r="K483" s="14" t="n">
        <v>19.2</v>
      </c>
      <c r="L483" s="14" t="n">
        <v>396.9</v>
      </c>
      <c r="M483" s="14" t="n">
        <v>14.1</v>
      </c>
      <c r="N483" s="14" t="n">
        <v>18.3</v>
      </c>
    </row>
    <row r="484" customFormat="false" ht="15" hidden="false" customHeight="false" outlineLevel="0" collapsed="false">
      <c r="A484" s="12" t="n">
        <v>0.23912</v>
      </c>
      <c r="B484" s="12" t="n">
        <v>0</v>
      </c>
      <c r="C484" s="12" t="n">
        <v>9.69</v>
      </c>
      <c r="D484" s="13" t="n">
        <v>0</v>
      </c>
      <c r="E484" s="12" t="n">
        <v>0.585</v>
      </c>
      <c r="F484" s="12" t="n">
        <v>6.019</v>
      </c>
      <c r="G484" s="12" t="n">
        <v>65.3</v>
      </c>
      <c r="H484" s="12" t="n">
        <v>2.4091</v>
      </c>
      <c r="I484" s="12" t="n">
        <v>6</v>
      </c>
      <c r="J484" s="12" t="n">
        <v>391</v>
      </c>
      <c r="K484" s="12" t="n">
        <v>19.2</v>
      </c>
      <c r="L484" s="12" t="n">
        <v>396.9</v>
      </c>
      <c r="M484" s="12" t="n">
        <v>12.92</v>
      </c>
      <c r="N484" s="12" t="n">
        <v>21.2</v>
      </c>
    </row>
    <row r="485" customFormat="false" ht="15" hidden="false" customHeight="false" outlineLevel="0" collapsed="false">
      <c r="A485" s="14" t="n">
        <v>0.17783</v>
      </c>
      <c r="B485" s="14" t="n">
        <v>0</v>
      </c>
      <c r="C485" s="14" t="n">
        <v>9.69</v>
      </c>
      <c r="D485" s="15" t="n">
        <v>0</v>
      </c>
      <c r="E485" s="14" t="n">
        <v>0.585</v>
      </c>
      <c r="F485" s="14" t="n">
        <v>5.569</v>
      </c>
      <c r="G485" s="14" t="n">
        <v>73.5</v>
      </c>
      <c r="H485" s="14" t="n">
        <v>2.3999</v>
      </c>
      <c r="I485" s="14" t="n">
        <v>6</v>
      </c>
      <c r="J485" s="14" t="n">
        <v>391</v>
      </c>
      <c r="K485" s="14" t="n">
        <v>19.2</v>
      </c>
      <c r="L485" s="14" t="n">
        <v>395.77</v>
      </c>
      <c r="M485" s="14" t="n">
        <v>15.1</v>
      </c>
      <c r="N485" s="14" t="n">
        <v>17.5</v>
      </c>
    </row>
    <row r="486" customFormat="false" ht="15" hidden="false" customHeight="false" outlineLevel="0" collapsed="false">
      <c r="A486" s="12" t="n">
        <v>0.22438</v>
      </c>
      <c r="B486" s="12" t="n">
        <v>0</v>
      </c>
      <c r="C486" s="12" t="n">
        <v>9.69</v>
      </c>
      <c r="D486" s="13" t="n">
        <v>0</v>
      </c>
      <c r="E486" s="12" t="n">
        <v>0.585</v>
      </c>
      <c r="F486" s="12" t="n">
        <v>6.027</v>
      </c>
      <c r="G486" s="12" t="n">
        <v>79.7</v>
      </c>
      <c r="H486" s="12" t="n">
        <v>2.4982</v>
      </c>
      <c r="I486" s="12" t="n">
        <v>6</v>
      </c>
      <c r="J486" s="12" t="n">
        <v>391</v>
      </c>
      <c r="K486" s="12" t="n">
        <v>19.2</v>
      </c>
      <c r="L486" s="12" t="n">
        <v>396.9</v>
      </c>
      <c r="M486" s="12" t="n">
        <v>14.33</v>
      </c>
      <c r="N486" s="12" t="n">
        <v>16.8</v>
      </c>
    </row>
    <row r="487" customFormat="false" ht="15" hidden="false" customHeight="false" outlineLevel="0" collapsed="false">
      <c r="A487" s="14" t="n">
        <v>0.06263</v>
      </c>
      <c r="B487" s="14" t="n">
        <v>0</v>
      </c>
      <c r="C487" s="14" t="n">
        <v>11.93</v>
      </c>
      <c r="D487" s="15" t="n">
        <v>0</v>
      </c>
      <c r="E487" s="14" t="n">
        <v>0.573</v>
      </c>
      <c r="F487" s="14" t="n">
        <v>6.593</v>
      </c>
      <c r="G487" s="14" t="n">
        <v>69.1</v>
      </c>
      <c r="H487" s="14" t="n">
        <v>2.4786</v>
      </c>
      <c r="I487" s="14" t="n">
        <v>1</v>
      </c>
      <c r="J487" s="14" t="n">
        <v>273</v>
      </c>
      <c r="K487" s="14" t="n">
        <v>21</v>
      </c>
      <c r="L487" s="14" t="n">
        <v>391.99</v>
      </c>
      <c r="M487" s="14" t="n">
        <v>9.67</v>
      </c>
      <c r="N487" s="14" t="n">
        <v>22.4</v>
      </c>
    </row>
    <row r="488" customFormat="false" ht="15" hidden="false" customHeight="false" outlineLevel="0" collapsed="false">
      <c r="A488" s="12" t="n">
        <v>0.04527</v>
      </c>
      <c r="B488" s="12" t="n">
        <v>0</v>
      </c>
      <c r="C488" s="12" t="n">
        <v>11.93</v>
      </c>
      <c r="D488" s="13" t="n">
        <v>0</v>
      </c>
      <c r="E488" s="12" t="n">
        <v>0.573</v>
      </c>
      <c r="F488" s="12" t="n">
        <v>6.12</v>
      </c>
      <c r="G488" s="12" t="n">
        <v>76.7</v>
      </c>
      <c r="H488" s="12" t="n">
        <v>2.2875</v>
      </c>
      <c r="I488" s="12" t="n">
        <v>1</v>
      </c>
      <c r="J488" s="12" t="n">
        <v>273</v>
      </c>
      <c r="K488" s="12" t="n">
        <v>21</v>
      </c>
      <c r="L488" s="12" t="n">
        <v>396.9</v>
      </c>
      <c r="M488" s="12" t="n">
        <v>9.08</v>
      </c>
      <c r="N488" s="12" t="n">
        <v>20.6</v>
      </c>
    </row>
    <row r="489" customFormat="false" ht="15" hidden="false" customHeight="false" outlineLevel="0" collapsed="false">
      <c r="A489" s="14" t="n">
        <v>0.06076</v>
      </c>
      <c r="B489" s="14" t="n">
        <v>0</v>
      </c>
      <c r="C489" s="14" t="n">
        <v>11.93</v>
      </c>
      <c r="D489" s="15" t="n">
        <v>0</v>
      </c>
      <c r="E489" s="14" t="n">
        <v>0.573</v>
      </c>
      <c r="F489" s="14" t="n">
        <v>6.976</v>
      </c>
      <c r="G489" s="14" t="n">
        <v>91</v>
      </c>
      <c r="H489" s="14" t="n">
        <v>2.1675</v>
      </c>
      <c r="I489" s="14" t="n">
        <v>1</v>
      </c>
      <c r="J489" s="14" t="n">
        <v>273</v>
      </c>
      <c r="K489" s="14" t="n">
        <v>21</v>
      </c>
      <c r="L489" s="14" t="n">
        <v>396.9</v>
      </c>
      <c r="M489" s="14" t="n">
        <v>5.64</v>
      </c>
      <c r="N489" s="14" t="n">
        <v>23.9</v>
      </c>
    </row>
    <row r="490" customFormat="false" ht="15" hidden="false" customHeight="false" outlineLevel="0" collapsed="false">
      <c r="A490" s="12" t="n">
        <v>0.10959</v>
      </c>
      <c r="B490" s="12" t="n">
        <v>0</v>
      </c>
      <c r="C490" s="12" t="n">
        <v>11.93</v>
      </c>
      <c r="D490" s="13" t="n">
        <v>0</v>
      </c>
      <c r="E490" s="12" t="n">
        <v>0.573</v>
      </c>
      <c r="F490" s="12" t="n">
        <v>6.794</v>
      </c>
      <c r="G490" s="12" t="n">
        <v>89.3</v>
      </c>
      <c r="H490" s="12" t="n">
        <v>2.3889</v>
      </c>
      <c r="I490" s="12" t="n">
        <v>1</v>
      </c>
      <c r="J490" s="12" t="n">
        <v>273</v>
      </c>
      <c r="K490" s="12" t="n">
        <v>21</v>
      </c>
      <c r="L490" s="12" t="n">
        <v>393.45</v>
      </c>
      <c r="M490" s="12" t="n">
        <v>6.48</v>
      </c>
      <c r="N490" s="12" t="n">
        <v>22</v>
      </c>
    </row>
    <row r="491" customFormat="false" ht="15" hidden="false" customHeight="false" outlineLevel="0" collapsed="false">
      <c r="A491" s="14" t="n">
        <v>0.04741</v>
      </c>
      <c r="B491" s="14" t="n">
        <v>0</v>
      </c>
      <c r="C491" s="14" t="n">
        <v>11.93</v>
      </c>
      <c r="D491" s="15" t="n">
        <v>0</v>
      </c>
      <c r="E491" s="14" t="n">
        <v>0.573</v>
      </c>
      <c r="F491" s="14" t="n">
        <v>6.03</v>
      </c>
      <c r="G491" s="14" t="n">
        <v>80.8</v>
      </c>
      <c r="H491" s="14" t="n">
        <v>2.505</v>
      </c>
      <c r="I491" s="14" t="n">
        <v>1</v>
      </c>
      <c r="J491" s="14" t="n">
        <v>273</v>
      </c>
      <c r="K491" s="14" t="n">
        <v>21</v>
      </c>
      <c r="L491" s="14" t="n">
        <v>396.9</v>
      </c>
      <c r="M491" s="14" t="n">
        <v>7.88</v>
      </c>
      <c r="N491" s="14" t="n">
        <v>11.9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5" min="4" style="0" width="16"/>
    <col collapsed="false" customWidth="true" hidden="false" outlineLevel="0" max="7" min="7" style="0" width="26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6" t="s">
        <v>19</v>
      </c>
      <c r="B1" s="16" t="s">
        <v>20</v>
      </c>
      <c r="D1" s="16" t="s">
        <v>21</v>
      </c>
      <c r="E1" s="16" t="s">
        <v>22</v>
      </c>
      <c r="G1" s="17" t="s">
        <v>23</v>
      </c>
      <c r="H1" s="17" t="s">
        <v>24</v>
      </c>
    </row>
    <row r="2" customFormat="false" ht="15" hidden="false" customHeight="false" outlineLevel="0" collapsed="false">
      <c r="A2" s="18" t="s">
        <v>10</v>
      </c>
      <c r="B2" s="19" t="n">
        <f aca="false">CORREL(Data!F2:F491,Data!N2:N491)</f>
        <v>0.686634314206023</v>
      </c>
      <c r="D2" s="18" t="s">
        <v>25</v>
      </c>
      <c r="E2" s="20" t="n">
        <f aca="false">AVERAGEIF(Data!D2:D491,0,Data!N2:N491)</f>
        <v>21.4885032537961</v>
      </c>
      <c r="G2" s="18" t="s">
        <v>22</v>
      </c>
      <c r="H2" s="20" t="n">
        <f aca="false">AVERAGE(Data!N2:N491)</f>
        <v>21.6359183673469</v>
      </c>
    </row>
    <row r="3" customFormat="false" ht="15" hidden="false" customHeight="false" outlineLevel="0" collapsed="false">
      <c r="A3" s="18" t="s">
        <v>6</v>
      </c>
      <c r="B3" s="19" t="n">
        <f aca="false">CORREL(Data!B2:B491,Data!N2:N491)</f>
        <v>0.40460764217148</v>
      </c>
      <c r="D3" s="18" t="s">
        <v>26</v>
      </c>
      <c r="E3" s="20" t="n">
        <f aca="false">AVERAGEIF(Data!D2:D491,1,Data!N2:N491)</f>
        <v>23.9793103448276</v>
      </c>
      <c r="G3" s="18" t="s">
        <v>27</v>
      </c>
      <c r="H3" s="20" t="n">
        <f aca="false">MAX(Data!N2:N491)</f>
        <v>48.8</v>
      </c>
    </row>
    <row r="4" customFormat="false" ht="15" hidden="false" customHeight="false" outlineLevel="0" collapsed="false">
      <c r="A4" s="18" t="s">
        <v>12</v>
      </c>
      <c r="B4" s="19" t="n">
        <f aca="false">CORREL(Data!H2:H491,Data!N2:N491)</f>
        <v>0.368813184777826</v>
      </c>
      <c r="G4" s="18" t="s">
        <v>28</v>
      </c>
      <c r="H4" s="18" t="n">
        <f aca="false">COUNT(Data!N2:N491)</f>
        <v>490</v>
      </c>
    </row>
    <row r="5" customFormat="false" ht="15" hidden="false" customHeight="false" outlineLevel="0" collapsed="false">
      <c r="A5" s="18" t="s">
        <v>16</v>
      </c>
      <c r="B5" s="19" t="n">
        <f aca="false">CORREL(Data!L2:L491,Data!N2:N491)</f>
        <v>0.364927980278278</v>
      </c>
      <c r="G5" s="18" t="s">
        <v>29</v>
      </c>
      <c r="H5" s="18" t="str">
        <f aca="false">INDEX(A2:A13,MATCH(MAX(B2:B13),B2:B13,0))</f>
        <v>RM</v>
      </c>
    </row>
    <row r="6" customFormat="false" ht="15" hidden="false" customHeight="false" outlineLevel="0" collapsed="false">
      <c r="A6" s="18" t="s">
        <v>8</v>
      </c>
      <c r="B6" s="19" t="n">
        <f aca="false">CORREL(Data!D2:D491,Data!N2:N491)</f>
        <v>0.0748034682945589</v>
      </c>
      <c r="G6" s="18" t="s">
        <v>30</v>
      </c>
      <c r="H6" s="18" t="str">
        <f aca="false">INDEX(A2:A13,MATCH(MIN(B2:B13),B2:B13,0))</f>
        <v>INDUS</v>
      </c>
    </row>
    <row r="7" customFormat="false" ht="15" hidden="false" customHeight="false" outlineLevel="0" collapsed="false">
      <c r="A7" s="18" t="s">
        <v>5</v>
      </c>
      <c r="B7" s="19" t="n">
        <f aca="false">CORREL(Data!A2:A491,Data!N2:N491)</f>
        <v>-0.450115181227719</v>
      </c>
    </row>
    <row r="8" customFormat="false" ht="15" hidden="false" customHeight="false" outlineLevel="0" collapsed="false">
      <c r="A8" s="18" t="s">
        <v>13</v>
      </c>
      <c r="B8" s="19" t="n">
        <f aca="false">CORREL(Data!I2:I491,Data!N2:N491)</f>
        <v>-0.476295593463916</v>
      </c>
    </row>
    <row r="9" customFormat="false" ht="15" hidden="false" customHeight="false" outlineLevel="0" collapsed="false">
      <c r="A9" s="18" t="s">
        <v>11</v>
      </c>
      <c r="B9" s="19" t="n">
        <f aca="false">CORREL(Data!G2:G491,Data!N2:N491)</f>
        <v>-0.492915210193238</v>
      </c>
    </row>
    <row r="10" customFormat="false" ht="15" hidden="false" customHeight="false" outlineLevel="0" collapsed="false">
      <c r="A10" s="18" t="s">
        <v>15</v>
      </c>
      <c r="B10" s="19" t="n">
        <f aca="false">CORREL(Data!K2:K491,Data!N2:N491)</f>
        <v>-0.51864104939619</v>
      </c>
    </row>
    <row r="11" customFormat="false" ht="15" hidden="false" customHeight="false" outlineLevel="0" collapsed="false">
      <c r="A11" s="18" t="s">
        <v>9</v>
      </c>
      <c r="B11" s="19" t="n">
        <f aca="false">CORREL(Data!E2:E491,Data!N2:N491)</f>
        <v>-0.52445103122407</v>
      </c>
    </row>
    <row r="12" customFormat="false" ht="15" hidden="false" customHeight="false" outlineLevel="0" collapsed="false">
      <c r="A12" s="18" t="s">
        <v>14</v>
      </c>
      <c r="B12" s="19" t="n">
        <f aca="false">CORREL(Data!J2:J491,Data!N2:N491)</f>
        <v>-0.572441672789006</v>
      </c>
    </row>
    <row r="13" customFormat="false" ht="15" hidden="false" customHeight="false" outlineLevel="0" collapsed="false">
      <c r="A13" s="18" t="s">
        <v>7</v>
      </c>
      <c r="B13" s="19" t="n">
        <f aca="false">CORREL(Data!C2:C491,Data!N2:N491)</f>
        <v>-0.600005228507379</v>
      </c>
    </row>
    <row r="14" customFormat="false" ht="15" hidden="false" customHeight="false" outlineLevel="0" collapsed="false">
      <c r="A14" s="18" t="s">
        <v>17</v>
      </c>
      <c r="B14" s="19" t="n">
        <f aca="false">CORREL(Data!M2:M491,Data!N2:N491)</f>
        <v>-0.759837490903252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2026-08-08T21:05:04Z</dcterms:created>
  <dc:creator>openpyxl</dc:creator>
  <dc:description/>
  <dc:language>en-US</dc:language>
  <cp:lastModifiedBy/>
  <dcterms:modified xsi:type="dcterms:W3CDTF">2026-08-08T21:05:06Z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